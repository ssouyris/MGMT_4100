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Model" sheetId="1" r:id="rId10"/>
  </sheets>
  <definedNames>
    <definedName name="solver_adj" hidden="true" localSheetId="0">Model!$B$9:$E$9</definedName>
    <definedName name="solver_cvg" hidden="true" localSheetId="0">0.0001</definedName>
    <definedName name="solver_drv" hidden="true" localSheetId="0">1</definedName>
    <definedName name="solver_eng" hidden="true" localSheetId="0">2</definedName>
    <definedName name="solver_est" hidden="true" localSheetId="0">1</definedName>
    <definedName name="solver_itr" hidden="true" localSheetId="0">2147483647</definedName>
    <definedName name="solver_lhs1" hidden="true" localSheetId="0">Model!$G$4</definedName>
    <definedName name="solver_lhs2" hidden="true" localSheetId="0">Model!$G$5</definedName>
    <definedName name="solver_lhs3" hidden="true" localSheetId="0">Model!$G$6</definedName>
    <definedName name="solver_lhs4" hidden="true" localSheetId="0">Model!$B$9:$E$9</definedName>
    <definedName name="solver_lin" hidden="true" localSheetId="0">2</definedName>
    <definedName name="solver_mip" hidden="true" localSheetId="0">2147483647</definedName>
    <definedName name="solver_mni" hidden="true" localSheetId="0">30</definedName>
    <definedName name="solver_mrt" hidden="true" localSheetId="0">0.075</definedName>
    <definedName name="solver_msl" hidden="true" localSheetId="0">2</definedName>
    <definedName name="solver_ncr" hidden="true" localSheetId="0">2</definedName>
    <definedName name="solver_neg" hidden="true" localSheetId="0">1</definedName>
    <definedName name="solver_nod" hidden="true" localSheetId="0">2147483647</definedName>
    <definedName name="solver_num" hidden="true" localSheetId="0">4</definedName>
    <definedName name="solver_nwt" hidden="true" localSheetId="0">1</definedName>
    <definedName name="solver_opt" hidden="true" localSheetId="0">Model!$G$12</definedName>
    <definedName name="solver_pre" hidden="true" localSheetId="0">1</definedName>
    <definedName name="solver_rel1" hidden="true" localSheetId="0">1</definedName>
    <definedName name="solver_rel2" hidden="true" localSheetId="0">1</definedName>
    <definedName name="solver_rel3" hidden="true" localSheetId="0">1</definedName>
    <definedName name="solver_rel4" hidden="true" localSheetId="0">5</definedName>
    <definedName name="solver_rhs1" hidden="true" localSheetId="0">Model!$I$4</definedName>
    <definedName name="solver_rhs2" hidden="true" localSheetId="0">Model!$I$5</definedName>
    <definedName name="solver_rhs3" hidden="true" localSheetId="0">Model!$I$6</definedName>
    <definedName name="solver_rhs4" hidden="true" localSheetId="0">binary</definedName>
    <definedName name="solver_rlx" hidden="true" localSheetId="0">2</definedName>
    <definedName name="solver_rsd" hidden="true" localSheetId="0">0</definedName>
    <definedName name="solver_scl" hidden="true" localSheetId="0">2</definedName>
    <definedName name="solver_show" hidden="true" localSheetId="0">2</definedName>
    <definedName name="solver_sol" hidden="true" localSheetId="0">2147483647</definedName>
    <definedName name="solver_ssz" hidden="true" localSheetId="0">100</definedName>
    <definedName name="solver_tim" hidden="true" localSheetId="0">2147483647</definedName>
    <definedName name="solver_tol" hidden="true" localSheetId="0">0</definedName>
    <definedName name="solver_typ" hidden="true" localSheetId="0">1</definedName>
    <definedName name="solver_ver" hidden="true" localSheetId="0">3</definedName>
  </definedNames>
  <calcPr iterateCount="100" refMode="A1" iterate="false" iterateDelta="0.0001"/>
</workbook>
</file>

<file path=xl/sharedStrings.xml><?xml version="1.0" encoding="utf-8"?>
<sst xmlns="http://schemas.openxmlformats.org/spreadsheetml/2006/main" count="27" uniqueCount="22">
  <si>
    <t xml:space="preserve">Recreation facilities selection (0-1 integer model)</t>
  </si>
  <si>
    <t xml:space="preserve">Pool (x1)</t>
  </si>
  <si>
    <t xml:space="preserve">Tennis (x2)</t>
  </si>
  <si>
    <t xml:space="preserve">Field (x3)</t>
  </si>
  <si>
    <t xml:space="preserve">Gym (x4)</t>
  </si>
  <si>
    <t xml:space="preserve">Used</t>
  </si>
  <si>
    <t xml:space="preserve">Available</t>
  </si>
  <si>
    <t xml:space="preserve">Budget ($)</t>
  </si>
  <si>
    <t xml:space="preserve">&lt;=</t>
  </si>
  <si>
    <t xml:space="preserve">Land (acres)</t>
  </si>
  <si>
    <t xml:space="preserve">Pool or tennis, not both</t>
  </si>
  <si>
    <t xml:space="preserve">Decision (changing cells)</t>
  </si>
  <si>
    <t xml:space="preserve">Variable type</t>
  </si>
  <si>
    <t xml:space="preserve">binary</t>
  </si>
  <si>
    <t xml:space="preserve">Expected usage (people/day)</t>
  </si>
  <si>
    <t xml:space="preserve">Total</t>
  </si>
  <si>
    <t xml:space="preserve">Legend: blue = data cells (edit to change the instance); yellow = changing cells (Solver decides);</t>
  </si>
  <si>
    <t xml:space="preserve">orange = objective cell. 'Used' cells are SUMPRODUCT formulas of the data row and the decision row.</t>
  </si>
  <si>
    <t xml:space="preserve">Solver: objective G12 (Max), changing cells B9:E9, constraints G4:G6 vs I4:I6,</t>
  </si>
  <si>
    <t xml:space="preserve">plus the integer/binary declarations on the changing cells; Simplex LP engine; nonnegative unchecked variables.</t>
  </si>
  <si>
    <t xml:space="preserve">Changing cells hold the verified optimum (gurobipy) so the workbook opens solved; reset them to 0 to watch Solver work.</t>
  </si>
  <si>
    <t xml:space="preserve">Optimum: pool and athletic field, 700 people/day; budget used $60,000, land 11 acres.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</si>
</sst>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#,##0"/>
    <numFmt numFmtId="167" formatCode="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1EDF5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1E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workbookViewId="0">
      <selection activeCell="A1" sqref="A1"/>
    </sheetView>
  </sheetViews>
  <sheetFormatPr defaultColWidth="8.6796875" defaultRowHeight="15"/>
  <cols>
    <col min="1" max="1" width="30" customWidth="true"/>
    <col min="2" max="9" width="14" customWidth="true"/>
  </cols>
  <sheetData>
    <row r="1">
      <c r="A1" s="1" t="s">
        <v>0</v>
      </c>
    </row>
    <row r="3">
      <c r="A3" s="2"/>
      <c r="B3" s="3" t="s">
        <v>1</v>
      </c>
      <c r="C3" s="3" t="s">
        <v>2</v>
      </c>
      <c r="D3" s="3" t="s">
        <v>3</v>
      </c>
      <c r="E3" s="3" t="s">
        <v>4</v>
      </c>
      <c r="F3" s="2"/>
      <c r="G3" s="3" t="s">
        <v>5</v>
      </c>
      <c r="H3" s="2"/>
      <c r="I3" s="3" t="s">
        <v>6</v>
      </c>
    </row>
    <row r="4">
      <c r="A4" s="4" t="s">
        <v>7</v>
      </c>
      <c r="B4" s="5" t="n">
        <v>35000</v>
      </c>
      <c r="C4" s="5" t="n">
        <v>10000</v>
      </c>
      <c r="D4" s="5" t="n">
        <v>25000</v>
      </c>
      <c r="E4" s="5" t="n">
        <v>90000</v>
      </c>
      <c r="F4" s="6"/>
      <c r="G4" s="7" t="n">
        <f aca="false">SUMPRODUCT(B4:E4,B9:E9)</f>
        <v>60000</v>
      </c>
      <c r="H4" s="8" t="s">
        <v>8</v>
      </c>
      <c r="I4" s="5" t="n">
        <v>120000</v>
      </c>
    </row>
    <row r="5">
      <c r="A5" s="4" t="s">
        <v>9</v>
      </c>
      <c r="B5" s="9" t="n">
        <v>4</v>
      </c>
      <c r="C5" s="9" t="n">
        <v>2</v>
      </c>
      <c r="D5" s="9" t="n">
        <v>7</v>
      </c>
      <c r="E5" s="9" t="n">
        <v>3</v>
      </c>
      <c r="F5" s="6"/>
      <c r="G5" s="10" t="n">
        <f aca="false">SUMPRODUCT(B5:E5,B9:E9)</f>
        <v>11</v>
      </c>
      <c r="H5" s="8" t="s">
        <v>8</v>
      </c>
      <c r="I5" s="9" t="n">
        <v>12</v>
      </c>
    </row>
    <row r="6">
      <c r="A6" s="4" t="s">
        <v>10</v>
      </c>
      <c r="B6" s="11" t="n">
        <v>1</v>
      </c>
      <c r="C6" s="11" t="n">
        <v>1</v>
      </c>
      <c r="D6" s="11" t="n">
        <v>0</v>
      </c>
      <c r="E6" s="11" t="n">
        <v>0</v>
      </c>
      <c r="F6" s="6"/>
      <c r="G6" s="12" t="n">
        <f aca="false">SUMPRODUCT(B6:E6,B9:E9)</f>
        <v>1</v>
      </c>
      <c r="H6" s="8" t="s">
        <v>8</v>
      </c>
      <c r="I6" s="11" t="n">
        <v>1</v>
      </c>
    </row>
    <row r="9">
      <c r="A9" s="4" t="s">
        <v>11</v>
      </c>
      <c r="B9" s="13" t="n">
        <v>1</v>
      </c>
      <c r="C9" s="13" t="n">
        <v>0</v>
      </c>
      <c r="D9" s="13" t="n">
        <v>1</v>
      </c>
      <c r="E9" s="13" t="n">
        <v>0</v>
      </c>
    </row>
    <row r="10">
      <c r="A10" s="4" t="s">
        <v>12</v>
      </c>
      <c r="B10" s="14" t="s">
        <v>13</v>
      </c>
      <c r="C10" s="14" t="s">
        <v>13</v>
      </c>
      <c r="D10" s="14" t="s">
        <v>13</v>
      </c>
      <c r="E10" s="14" t="s">
        <v>13</v>
      </c>
    </row>
    <row r="12">
      <c r="A12" s="4" t="s">
        <v>14</v>
      </c>
      <c r="B12" s="9" t="n">
        <v>300</v>
      </c>
      <c r="C12" s="9" t="n">
        <v>90</v>
      </c>
      <c r="D12" s="9" t="n">
        <v>400</v>
      </c>
      <c r="E12" s="9" t="n">
        <v>150</v>
      </c>
      <c r="F12" s="3" t="s">
        <v>15</v>
      </c>
      <c r="G12" s="15" t="n">
        <f aca="false">SUMPRODUCT(B12:E12,B9:E9)</f>
        <v>700</v>
      </c>
    </row>
    <row r="14">
      <c r="A14" s="16" t="s">
        <v>16</v>
      </c>
    </row>
    <row r="15">
      <c r="A15" s="16" t="s">
        <v>17</v>
      </c>
    </row>
    <row r="16">
      <c r="A16" s="16" t="s">
        <v>18</v>
      </c>
    </row>
    <row r="17">
      <c r="A17" s="16" t="s">
        <v>19</v>
      </c>
    </row>
    <row r="18">
      <c r="A18" s="16" t="s">
        <v>20</v>
      </c>
    </row>
    <row r="19">
      <c r="A19" s="16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MGMT 4100 normalize_workbooks.py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2026-09-08T03:58:10Z</dcterms:created>
  <dc:creator>openpyxl</dc:creator>
  <dc:description/>
  <dc:language>en-US</dc:language>
  <cp:lastModifiedBy/>
  <dcterms:modified xsi:type="dcterms:W3CDTF">2026-09-08T03:58:10Z</dcterms:modified>
  <cp:revision>0</cp:revision>
  <dc:subject/>
  <dc:title/>
</cp:coreProperties>
</file>