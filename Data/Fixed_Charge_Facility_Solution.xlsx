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Model" sheetId="1" r:id="rId10"/>
  </sheets>
  <definedNames>
    <definedName name="solver_adj" hidden="true" localSheetId="0">Model!$B$13:$D$18,$H$13:$H$18</definedName>
    <definedName name="solver_cvg" hidden="true" localSheetId="0">0.0001</definedName>
    <definedName name="solver_drv" hidden="true" localSheetId="0">1</definedName>
    <definedName name="solver_eng" hidden="true" localSheetId="0">2</definedName>
    <definedName name="solver_est" hidden="true" localSheetId="0">1</definedName>
    <definedName name="solver_itr" hidden="true" localSheetId="0">2147483647</definedName>
    <definedName name="solver_lhs1" hidden="true" localSheetId="0">Model!$E$13:$E$18</definedName>
    <definedName name="solver_lhs2" hidden="true" localSheetId="0">Model!$B$19:$D$19</definedName>
    <definedName name="solver_lhs3" hidden="true" localSheetId="0">Model!$H$13:$H$18</definedName>
    <definedName name="solver_lin" hidden="true" localSheetId="0">2</definedName>
    <definedName name="solver_mip" hidden="true" localSheetId="0">2147483647</definedName>
    <definedName name="solver_mni" hidden="true" localSheetId="0">30</definedName>
    <definedName name="solver_mrt" hidden="true" localSheetId="0">0.075</definedName>
    <definedName name="solver_msl" hidden="true" localSheetId="0">2</definedName>
    <definedName name="solver_ncr" hidden="true" localSheetId="0">2</definedName>
    <definedName name="solver_neg" hidden="true" localSheetId="0">1</definedName>
    <definedName name="solver_nod" hidden="true" localSheetId="0">2147483647</definedName>
    <definedName name="solver_num" hidden="true" localSheetId="0">3</definedName>
    <definedName name="solver_nwt" hidden="true" localSheetId="0">1</definedName>
    <definedName name="solver_opt" hidden="true" localSheetId="0">Model!$B$25</definedName>
    <definedName name="solver_pre" hidden="true" localSheetId="0">1</definedName>
    <definedName name="solver_rel1" hidden="true" localSheetId="0">1</definedName>
    <definedName name="solver_rel2" hidden="true" localSheetId="0">2</definedName>
    <definedName name="solver_rel3" hidden="true" localSheetId="0">5</definedName>
    <definedName name="solver_rhs1" hidden="true" localSheetId="0">Model!$G$13:$G$18</definedName>
    <definedName name="solver_rhs2" hidden="true" localSheetId="0">Model!$B$21:$D$21</definedName>
    <definedName name="solver_rhs3" hidden="true" localSheetId="0">binary</definedName>
    <definedName name="solver_rlx" hidden="true" localSheetId="0">2</definedName>
    <definedName name="solver_rsd" hidden="true" localSheetId="0">0</definedName>
    <definedName name="solver_scl" hidden="true" localSheetId="0">2</definedName>
    <definedName name="solver_show" hidden="true" localSheetId="0">2</definedName>
    <definedName name="solver_sol" hidden="true" localSheetId="0">2147483647</definedName>
    <definedName name="solver_ssz" hidden="true" localSheetId="0">100</definedName>
    <definedName name="solver_tim" hidden="true" localSheetId="0">2147483647</definedName>
    <definedName name="solver_tol" hidden="true" localSheetId="0">0</definedName>
    <definedName name="solver_typ" hidden="true" localSheetId="0">2</definedName>
    <definedName name="solver_ver" hidden="true" localSheetId="0">3</definedName>
  </definedNames>
  <calcPr iterateCount="100" refMode="A1" iterate="false" iterateDelta="0.0001"/>
</workbook>
</file>

<file path=xl/sharedStrings.xml><?xml version="1.0" encoding="utf-8"?>
<sst xmlns="http://schemas.openxmlformats.org/spreadsheetml/2006/main" count="44" uniqueCount="27">
  <si>
    <t xml:space="preserve">Potato farms and plants: fixed charge and facility location model</t>
  </si>
  <si>
    <t xml:space="preserve">Shipping cost ($/ton)</t>
  </si>
  <si>
    <t xml:space="preserve">Plant A</t>
  </si>
  <si>
    <t xml:space="preserve">Plant B</t>
  </si>
  <si>
    <t xml:space="preserve">Plant C</t>
  </si>
  <si>
    <t xml:space="preserve">Fixed cost ($1,000s)</t>
  </si>
  <si>
    <t xml:space="preserve">Harvest (1,000 tons)</t>
  </si>
  <si>
    <t xml:space="preserve">Farm 1</t>
  </si>
  <si>
    <t xml:space="preserve">Farm 2</t>
  </si>
  <si>
    <t xml:space="preserve">Farm 3</t>
  </si>
  <si>
    <t xml:space="preserve">Farm 4</t>
  </si>
  <si>
    <t xml:space="preserve">Farm 5</t>
  </si>
  <si>
    <t xml:space="preserve">Farm 6</t>
  </si>
  <si>
    <t xml:space="preserve">Shipments (1,000 tons)</t>
  </si>
  <si>
    <t xml:space="preserve">Shipped</t>
  </si>
  <si>
    <t xml:space="preserve">Harvest x Select</t>
  </si>
  <si>
    <t xml:space="preserve">Select farm (y)</t>
  </si>
  <si>
    <t xml:space="preserve">&lt;=</t>
  </si>
  <si>
    <t xml:space="preserve">Received</t>
  </si>
  <si>
    <t xml:space="preserve">=</t>
  </si>
  <si>
    <t xml:space="preserve">Plant capacity (1,000 tons)</t>
  </si>
  <si>
    <t xml:space="preserve">Shipping cost ($1,000s)</t>
  </si>
  <si>
    <t xml:space="preserve">Total cost ($1,000s)</t>
  </si>
  <si>
    <t xml:space="preserve">Legend: blue = data; yellow = changing cells (shipments B13:D18 and farm selection H13:H18); orange = objective.</t>
  </si>
  <si>
    <t xml:space="preserve">Shipping cost is measured in $/ton and shipments in thousands of tons, so SUMPRODUCT returns $1,000s, matching the fixed costs.</t>
  </si>
  <si>
    <t xml:space="preserve">Solver: Min B25; changing B13:D18,H13:H18; E13:E18 &lt;= G13:G18; B19:D19 = B21:D21; H13:H18 binary; Simplex LP; nonnegative.</t>
  </si>
  <si>
    <t xml:space="preserve">Changing cells hold the verified optimum (gurobipy): farms 1, 2, 4, 6 selected, total cost $2,082,300.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</si>
</sst>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"/>
    <numFmt numFmtId="166" formatCode="0.0"/>
    <numFmt numFmtId="167" formatCode="\$#,##0.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1EDF5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FFE699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1ED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:H30"/>
  <sheetViews>
    <sheetView workbookViewId="0">
      <selection activeCell="A1" sqref="A1"/>
    </sheetView>
  </sheetViews>
  <sheetFormatPr defaultColWidth="8.6796875" defaultRowHeight="15"/>
  <cols>
    <col min="1" max="1" width="30" customWidth="true"/>
    <col min="2" max="8" width="16" customWidth="true"/>
  </cols>
  <sheetData>
    <row r="1">
      <c r="A1" s="1" t="s">
        <v>0</v>
      </c>
    </row>
    <row r="3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>
      <c r="A4" s="4" t="s">
        <v>7</v>
      </c>
      <c r="B4" s="5" t="n">
        <v>18</v>
      </c>
      <c r="C4" s="5" t="n">
        <v>15</v>
      </c>
      <c r="D4" s="5" t="n">
        <v>12</v>
      </c>
      <c r="E4" s="6" t="n">
        <v>405</v>
      </c>
      <c r="F4" s="7" t="n">
        <v>11.2</v>
      </c>
    </row>
    <row r="5">
      <c r="A5" s="4" t="s">
        <v>8</v>
      </c>
      <c r="B5" s="5" t="n">
        <v>13</v>
      </c>
      <c r="C5" s="5" t="n">
        <v>10</v>
      </c>
      <c r="D5" s="5" t="n">
        <v>17</v>
      </c>
      <c r="E5" s="6" t="n">
        <v>390</v>
      </c>
      <c r="F5" s="7" t="n">
        <v>10.5</v>
      </c>
    </row>
    <row r="6">
      <c r="A6" s="4" t="s">
        <v>9</v>
      </c>
      <c r="B6" s="5" t="n">
        <v>16</v>
      </c>
      <c r="C6" s="5" t="n">
        <v>14</v>
      </c>
      <c r="D6" s="5" t="n">
        <v>18</v>
      </c>
      <c r="E6" s="6" t="n">
        <v>450</v>
      </c>
      <c r="F6" s="7" t="n">
        <v>12.8</v>
      </c>
    </row>
    <row r="7">
      <c r="A7" s="4" t="s">
        <v>10</v>
      </c>
      <c r="B7" s="5" t="n">
        <v>19</v>
      </c>
      <c r="C7" s="5" t="n">
        <v>15</v>
      </c>
      <c r="D7" s="5" t="n">
        <v>16</v>
      </c>
      <c r="E7" s="6" t="n">
        <v>368</v>
      </c>
      <c r="F7" s="7" t="n">
        <v>9.3</v>
      </c>
    </row>
    <row r="8">
      <c r="A8" s="4" t="s">
        <v>11</v>
      </c>
      <c r="B8" s="5" t="n">
        <v>17</v>
      </c>
      <c r="C8" s="5" t="n">
        <v>19</v>
      </c>
      <c r="D8" s="5" t="n">
        <v>12</v>
      </c>
      <c r="E8" s="6" t="n">
        <v>520</v>
      </c>
      <c r="F8" s="7" t="n">
        <v>10.8</v>
      </c>
    </row>
    <row r="9">
      <c r="A9" s="4" t="s">
        <v>12</v>
      </c>
      <c r="B9" s="5" t="n">
        <v>14</v>
      </c>
      <c r="C9" s="5" t="n">
        <v>16</v>
      </c>
      <c r="D9" s="5" t="n">
        <v>12</v>
      </c>
      <c r="E9" s="6" t="n">
        <v>465</v>
      </c>
      <c r="F9" s="7" t="n">
        <v>9.6</v>
      </c>
    </row>
    <row r="12">
      <c r="A12" s="2" t="s">
        <v>13</v>
      </c>
      <c r="B12" s="3" t="s">
        <v>2</v>
      </c>
      <c r="C12" s="3" t="s">
        <v>3</v>
      </c>
      <c r="D12" s="3" t="s">
        <v>4</v>
      </c>
      <c r="E12" s="3" t="s">
        <v>14</v>
      </c>
      <c r="F12" s="2"/>
      <c r="G12" s="3" t="s">
        <v>15</v>
      </c>
      <c r="H12" s="3" t="s">
        <v>16</v>
      </c>
    </row>
    <row r="13">
      <c r="A13" s="4" t="s">
        <v>7</v>
      </c>
      <c r="B13" s="8" t="n">
        <v>0</v>
      </c>
      <c r="C13" s="8" t="n">
        <v>0</v>
      </c>
      <c r="D13" s="8" t="n">
        <v>11.2</v>
      </c>
      <c r="E13" s="9" t="n">
        <f aca="false">SUM(B13:D13)</f>
        <v>11.2</v>
      </c>
      <c r="F13" s="10" t="s">
        <v>17</v>
      </c>
      <c r="G13" s="9" t="n">
        <f aca="false">F4*H13</f>
        <v>11.2</v>
      </c>
      <c r="H13" s="11" t="n">
        <v>1</v>
      </c>
    </row>
    <row r="14">
      <c r="A14" s="4" t="s">
        <v>8</v>
      </c>
      <c r="B14" s="8" t="n">
        <v>2.4</v>
      </c>
      <c r="C14" s="8" t="n">
        <v>8.1</v>
      </c>
      <c r="D14" s="8" t="n">
        <v>0</v>
      </c>
      <c r="E14" s="9" t="n">
        <f aca="false">SUM(B14:D14)</f>
        <v>10.5</v>
      </c>
      <c r="F14" s="10" t="s">
        <v>17</v>
      </c>
      <c r="G14" s="9" t="n">
        <f aca="false">F5*H14</f>
        <v>10.5</v>
      </c>
      <c r="H14" s="11" t="n">
        <v>1</v>
      </c>
    </row>
    <row r="15">
      <c r="A15" s="4" t="s">
        <v>9</v>
      </c>
      <c r="B15" s="8" t="n">
        <v>0</v>
      </c>
      <c r="C15" s="8" t="n">
        <v>0</v>
      </c>
      <c r="D15" s="8" t="n">
        <v>0</v>
      </c>
      <c r="E15" s="9" t="n">
        <f aca="false">SUM(B15:D15)</f>
        <v>0</v>
      </c>
      <c r="F15" s="10" t="s">
        <v>17</v>
      </c>
      <c r="G15" s="9" t="n">
        <f aca="false">F6*H15</f>
        <v>0</v>
      </c>
      <c r="H15" s="11" t="n">
        <v>0</v>
      </c>
    </row>
    <row r="16">
      <c r="A16" s="4" t="s">
        <v>10</v>
      </c>
      <c r="B16" s="8" t="n">
        <v>0</v>
      </c>
      <c r="C16" s="8" t="n">
        <v>1.9</v>
      </c>
      <c r="D16" s="8" t="n">
        <v>2.8</v>
      </c>
      <c r="E16" s="9" t="n">
        <f aca="false">SUM(B16:D16)</f>
        <v>4.7</v>
      </c>
      <c r="F16" s="10" t="s">
        <v>17</v>
      </c>
      <c r="G16" s="9" t="n">
        <f aca="false">F7*H16</f>
        <v>9.3</v>
      </c>
      <c r="H16" s="11" t="n">
        <v>1</v>
      </c>
    </row>
    <row r="17">
      <c r="A17" s="4" t="s">
        <v>11</v>
      </c>
      <c r="B17" s="8" t="n">
        <v>0</v>
      </c>
      <c r="C17" s="8" t="n">
        <v>0</v>
      </c>
      <c r="D17" s="8" t="n">
        <v>0</v>
      </c>
      <c r="E17" s="9" t="n">
        <f aca="false">SUM(B17:D17)</f>
        <v>0</v>
      </c>
      <c r="F17" s="10" t="s">
        <v>17</v>
      </c>
      <c r="G17" s="9" t="n">
        <f aca="false">F8*H17</f>
        <v>0</v>
      </c>
      <c r="H17" s="11" t="n">
        <v>0</v>
      </c>
    </row>
    <row r="18">
      <c r="A18" s="4" t="s">
        <v>12</v>
      </c>
      <c r="B18" s="8" t="n">
        <v>9.6</v>
      </c>
      <c r="C18" s="8" t="n">
        <v>0</v>
      </c>
      <c r="D18" s="8" t="n">
        <v>0</v>
      </c>
      <c r="E18" s="9" t="n">
        <f aca="false">SUM(B18:D18)</f>
        <v>9.6</v>
      </c>
      <c r="F18" s="10" t="s">
        <v>17</v>
      </c>
      <c r="G18" s="9" t="n">
        <f aca="false">F9*H18</f>
        <v>9.6</v>
      </c>
      <c r="H18" s="11" t="n">
        <v>1</v>
      </c>
    </row>
    <row r="19">
      <c r="A19" s="4" t="s">
        <v>18</v>
      </c>
      <c r="B19" s="9" t="n">
        <f aca="false">SUM(B13:B18)</f>
        <v>12</v>
      </c>
      <c r="C19" s="9" t="n">
        <f aca="false">SUM(C13:C18)</f>
        <v>10</v>
      </c>
      <c r="D19" s="9" t="n">
        <f aca="false">SUM(D13:D18)</f>
        <v>14</v>
      </c>
    </row>
    <row r="20">
      <c r="A20" s="4"/>
      <c r="B20" s="10" t="s">
        <v>19</v>
      </c>
      <c r="C20" s="10" t="s">
        <v>19</v>
      </c>
      <c r="D20" s="10" t="s">
        <v>19</v>
      </c>
    </row>
    <row r="21">
      <c r="A21" s="4" t="s">
        <v>20</v>
      </c>
      <c r="B21" s="7" t="n">
        <v>12</v>
      </c>
      <c r="C21" s="7" t="n">
        <v>10</v>
      </c>
      <c r="D21" s="7" t="n">
        <v>14</v>
      </c>
    </row>
    <row r="23">
      <c r="A23" s="4" t="s">
        <v>21</v>
      </c>
      <c r="B23" s="12" t="n">
        <f aca="false">SUMPRODUCT(B4:D9,B13:D18)</f>
        <v>454.3</v>
      </c>
    </row>
    <row r="24">
      <c r="A24" s="4" t="s">
        <v>5</v>
      </c>
      <c r="B24" s="12" t="n">
        <f aca="false">SUMPRODUCT(E4:E9,H13:H18)</f>
        <v>1628</v>
      </c>
    </row>
    <row r="25">
      <c r="A25" s="4" t="s">
        <v>22</v>
      </c>
      <c r="B25" s="13" t="n">
        <f aca="false">B23+B24</f>
        <v>2082.3</v>
      </c>
    </row>
    <row r="27">
      <c r="A27" s="14" t="s">
        <v>23</v>
      </c>
    </row>
    <row r="28">
      <c r="A28" s="14" t="s">
        <v>24</v>
      </c>
    </row>
    <row r="29">
      <c r="A29" s="14" t="s">
        <v>25</v>
      </c>
    </row>
    <row r="30">
      <c r="A30" s="14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MGMT 4100 normalize_workbooks.py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2026-09-08T03:58:10Z</dcterms:created>
  <dc:creator>openpyxl</dc:creator>
  <dc:description/>
  <dc:language>en-US</dc:language>
  <cp:lastModifiedBy/>
  <dcterms:modified xsi:type="dcterms:W3CDTF">2026-09-08T03:58:10Z</dcterms:modified>
  <cp:revision>0</cp:revision>
  <dc:subject/>
  <dc:title/>
</cp:coreProperties>
</file>