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Model!$B$11:$B$12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Model!$E$6:$E$8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1</definedName>
    <definedName name="solver_nwt" hidden="true" localSheetId="0">1</definedName>
    <definedName name="solver_opt" hidden="true" localSheetId="0">Model!$B$13</definedName>
    <definedName name="solver_pre" hidden="true" localSheetId="0">1</definedName>
    <definedName name="solver_rel1" hidden="true" localSheetId="0">1</definedName>
    <definedName name="solver_rhs1" hidden="true" localSheetId="0">Model!$G$6:$G$8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<sst xmlns="http://schemas.openxmlformats.org/spreadsheetml/2006/main" count="21" uniqueCount="21">
  <si>
    <t xml:space="preserve">The Beaver Creek Pottery Company: packaging added (solved)</t>
  </si>
  <si>
    <t xml:space="preserve">Products:</t>
  </si>
  <si>
    <t xml:space="preserve">Bowl (x1)</t>
  </si>
  <si>
    <t xml:space="preserve">Mug (x2)</t>
  </si>
  <si>
    <t xml:space="preserve">Profit per unit:</t>
  </si>
  <si>
    <t xml:space="preserve">Resources:</t>
  </si>
  <si>
    <t xml:space="preserve">Usage</t>
  </si>
  <si>
    <t xml:space="preserve">Constraint</t>
  </si>
  <si>
    <t xml:space="preserve">Available</t>
  </si>
  <si>
    <t xml:space="preserve">Left over</t>
  </si>
  <si>
    <t xml:space="preserve">    labor (hr/unit)</t>
  </si>
  <si>
    <t xml:space="preserve">&lt;=</t>
  </si>
  <si>
    <t xml:space="preserve">    clay (lb/unit)</t>
  </si>
  <si>
    <t xml:space="preserve">    packaging (hr/unit)</t>
  </si>
  <si>
    <t xml:space="preserve">Production:</t>
  </si>
  <si>
    <t xml:space="preserve">   Bowls =</t>
  </si>
  <si>
    <t xml:space="preserve">   Mugs =</t>
  </si>
  <si>
    <t xml:space="preserve">   Profit =</t>
  </si>
  <si>
    <t xml:space="preserve">Legend: blue = data cells (edit to change the problem); yellow = changing cells (Solver decides); orange = objective cell.</t>
  </si>
  <si>
    <t xml:space="preserve">Solver: Max B13; changing cells B11:B12; constraints E6:E8 &lt;= G6:G8; Make Unconstrained Variables Non-Negative; Simplex LP.</t>
  </si>
  <si>
    <t xml:space="preserve">Optimum: 20 bowls, 10 mugs, profit $1,300, $60 less than without the packaging constraint. Labor and packaging are used up; 10 lb of clay is left over.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</si>
</sst>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" sqref="A1"/>
    </sheetView>
  </sheetViews>
  <sheetFormatPr defaultColWidth="8.6796875" defaultRowHeight="15"/>
  <cols>
    <col min="1" max="1" width="22" customWidth="true"/>
    <col min="2" max="8" width="11" customWidth="true"/>
  </cols>
  <sheetData>
    <row r="1">
      <c r="A1" s="1" t="s">
        <v>0</v>
      </c>
    </row>
    <row r="3">
      <c r="A3" s="4" t="s">
        <v>1</v>
      </c>
      <c r="B3" s="12"/>
      <c r="C3" s="3" t="s">
        <v>2</v>
      </c>
      <c r="D3" s="3" t="s">
        <v>3</v>
      </c>
    </row>
    <row r="4">
      <c r="A4" s="4" t="s">
        <v>4</v>
      </c>
      <c r="B4" s="12"/>
      <c r="C4" s="5">
        <v>40</v>
      </c>
      <c r="D4" s="5">
        <v>50</v>
      </c>
    </row>
    <row r="5">
      <c r="A5" s="4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>
      <c r="A6" s="12" t="s">
        <v>10</v>
      </c>
      <c r="B6" s="12"/>
      <c r="C6" s="9">
        <v>1</v>
      </c>
      <c r="D6" s="9">
        <v>2</v>
      </c>
      <c r="E6" s="10">
        <f>C6*B11+D6*B12</f>
        <v>40</v>
      </c>
      <c r="F6" s="8" t="s">
        <v>11</v>
      </c>
      <c r="G6" s="9">
        <v>40</v>
      </c>
      <c r="H6" s="10">
        <f>G6-E6</f>
        <v>0</v>
      </c>
    </row>
    <row r="7">
      <c r="A7" s="12" t="s">
        <v>12</v>
      </c>
      <c r="B7" s="12"/>
      <c r="C7" s="9">
        <v>4</v>
      </c>
      <c r="D7" s="9">
        <v>3</v>
      </c>
      <c r="E7" s="10">
        <f>C7*B11+D7*B12</f>
        <v>110</v>
      </c>
      <c r="F7" s="8" t="s">
        <v>11</v>
      </c>
      <c r="G7" s="9">
        <v>120</v>
      </c>
      <c r="H7" s="10">
        <f>G7-E7</f>
        <v>10</v>
      </c>
    </row>
    <row r="8">
      <c r="A8" s="12" t="s">
        <v>13</v>
      </c>
      <c r="B8" s="12"/>
      <c r="C8" s="9">
        <v>0.2</v>
      </c>
      <c r="D8" s="9">
        <v>0.1</v>
      </c>
      <c r="E8" s="10">
        <f>C8*B11+D8*B12</f>
        <v>5</v>
      </c>
      <c r="F8" s="8" t="s">
        <v>11</v>
      </c>
      <c r="G8" s="9">
        <v>5</v>
      </c>
      <c r="H8" s="10">
        <f>G8-E8</f>
        <v>0</v>
      </c>
    </row>
    <row r="10">
      <c r="A10" s="4" t="s">
        <v>14</v>
      </c>
    </row>
    <row r="11">
      <c r="A11" s="4" t="s">
        <v>15</v>
      </c>
      <c r="B11" s="11">
        <v>20</v>
      </c>
    </row>
    <row r="12">
      <c r="A12" s="4" t="s">
        <v>16</v>
      </c>
      <c r="B12" s="11">
        <v>10</v>
      </c>
    </row>
    <row r="13">
      <c r="A13" s="4" t="s">
        <v>17</v>
      </c>
      <c r="B13" s="14">
        <f>C4*B11+D4*B12</f>
        <v>1300</v>
      </c>
    </row>
    <row r="15">
      <c r="A15" s="15" t="s">
        <v>18</v>
      </c>
    </row>
    <row r="16">
      <c r="A16" s="15" t="s">
        <v>19</v>
      </c>
    </row>
    <row r="17">
      <c r="A17" s="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build_beaver_creek.py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2026-09-21T00:00:00Z</dcterms:created>
  <dcterms:modified xsi:type="dcterms:W3CDTF">2026-09-21T00:00:00Z</dcterms:modified>
</cp:coreProperties>
</file>