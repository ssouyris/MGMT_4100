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Model!$B$10:$F$10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Model!$H$4</definedName>
    <definedName name="solver_lhs2" hidden="true" localSheetId="0">Model!$H$5</definedName>
    <definedName name="solver_lhs3" hidden="true" localSheetId="0">Model!$H$6</definedName>
    <definedName name="solver_lhs4" hidden="true" localSheetId="0">Model!$H$7</definedName>
    <definedName name="solver_lhs5" hidden="true" localSheetId="0">Model!$B$10:$F$10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5</definedName>
    <definedName name="solver_nwt" hidden="true" localSheetId="0">1</definedName>
    <definedName name="solver_opt" hidden="true" localSheetId="0">Model!$H$13</definedName>
    <definedName name="solver_pre" hidden="true" localSheetId="0">1</definedName>
    <definedName name="solver_rel1" hidden="true" localSheetId="0">1</definedName>
    <definedName name="solver_rel2" hidden="true" localSheetId="0">1</definedName>
    <definedName name="solver_rel3" hidden="true" localSheetId="0">1</definedName>
    <definedName name="solver_rel4" hidden="true" localSheetId="0">1</definedName>
    <definedName name="solver_rel5" hidden="true" localSheetId="0">5</definedName>
    <definedName name="solver_rhs1" hidden="true" localSheetId="0">Model!$J$4</definedName>
    <definedName name="solver_rhs2" hidden="true" localSheetId="0">Model!$J$5</definedName>
    <definedName name="solver_rhs3" hidden="true" localSheetId="0">Model!$J$6</definedName>
    <definedName name="solver_rhs4" hidden="true" localSheetId="0">Model!$J$7</definedName>
    <definedName name="solver_rhs5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<sst xmlns="http://schemas.openxmlformats.org/spreadsheetml/2006/main" count="31" uniqueCount="24">
  <si>
    <t xml:space="preserve">University bookstore capital budgeting (0-1 integer model)</t>
  </si>
  <si>
    <t xml:space="preserve">Web site (x1)</t>
  </si>
  <si>
    <t xml:space="preserve">Warehouse (x2)</t>
  </si>
  <si>
    <t xml:space="preserve">Clothing (x3)</t>
  </si>
  <si>
    <t xml:space="preserve">Computer (x4)</t>
  </si>
  <si>
    <t xml:space="preserve">ATMs (x5)</t>
  </si>
  <si>
    <t xml:space="preserve">Used</t>
  </si>
  <si>
    <t xml:space="preserve">Available</t>
  </si>
  <si>
    <t xml:space="preserve">Year 1 cost ($1,000s)</t>
  </si>
  <si>
    <t xml:space="preserve">&lt;=</t>
  </si>
  <si>
    <t xml:space="preserve">Year 2 cost ($1,000s)</t>
  </si>
  <si>
    <t xml:space="preserve">Year 3 cost ($1,000s)</t>
  </si>
  <si>
    <t xml:space="preserve">Clothing or computer, not both</t>
  </si>
  <si>
    <t xml:space="preserve">Decision (changing cells)</t>
  </si>
  <si>
    <t xml:space="preserve">Variable type</t>
  </si>
  <si>
    <t xml:space="preserve">binary</t>
  </si>
  <si>
    <t xml:space="preserve">NPV return ($1,000s)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</si>
  <si>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</si>
  <si>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</si>
  <si>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</si>
  <si>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H13 (Max), changing cells B10:F10, constraints H4:H7 vs J4:J7,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</si>
  <si>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</si>
  <si>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</si>
  <si>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web site, computer department, ATMs; NPV $330,000. Year 1 uses $135k, year 2 $105k, year 3 $55k.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</si>
</sst>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10" width="14" customWidth="true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/>
      <c r="H3" s="3" t="s">
        <v>6</v>
      </c>
      <c r="I3" s="2"/>
      <c r="J3" s="3" t="s">
        <v>7</v>
      </c>
    </row>
    <row r="4">
      <c r="A4" s="4" t="s">
        <v>8</v>
      </c>
      <c r="B4" s="5" t="n">
        <v>55</v>
      </c>
      <c r="C4" s="5" t="n">
        <v>45</v>
      </c>
      <c r="D4" s="5" t="n">
        <v>60</v>
      </c>
      <c r="E4" s="5" t="n">
        <v>50</v>
      </c>
      <c r="F4" s="5" t="n">
        <v>30</v>
      </c>
      <c r="G4" s="6"/>
      <c r="H4" s="7" t="n">
        <f aca="false">SUMPRODUCT(B4:F4,B10:F10)</f>
        <v>135</v>
      </c>
      <c r="I4" s="8" t="s">
        <v>9</v>
      </c>
      <c r="J4" s="5" t="n">
        <v>150</v>
      </c>
    </row>
    <row r="5">
      <c r="A5" s="4" t="s">
        <v>10</v>
      </c>
      <c r="B5" s="5" t="n">
        <v>40</v>
      </c>
      <c r="C5" s="5" t="n">
        <v>35</v>
      </c>
      <c r="D5" s="5" t="n">
        <v>25</v>
      </c>
      <c r="E5" s="5" t="n">
        <v>35</v>
      </c>
      <c r="F5" s="5" t="n">
        <v>30</v>
      </c>
      <c r="G5" s="6"/>
      <c r="H5" s="7" t="n">
        <f aca="false">SUMPRODUCT(B5:F5,B10:F10)</f>
        <v>105</v>
      </c>
      <c r="I5" s="8" t="s">
        <v>9</v>
      </c>
      <c r="J5" s="5" t="n">
        <v>110</v>
      </c>
    </row>
    <row r="6">
      <c r="A6" s="4" t="s">
        <v>11</v>
      </c>
      <c r="B6" s="5" t="n">
        <v>25</v>
      </c>
      <c r="C6" s="5" t="n">
        <v>20</v>
      </c>
      <c r="D6" s="5" t="n">
        <v>0</v>
      </c>
      <c r="E6" s="5" t="n">
        <v>30</v>
      </c>
      <c r="F6" s="5" t="n">
        <v>0</v>
      </c>
      <c r="G6" s="6"/>
      <c r="H6" s="7" t="n">
        <f aca="false">SUMPRODUCT(B6:F6,B10:F10)</f>
        <v>55</v>
      </c>
      <c r="I6" s="8" t="s">
        <v>9</v>
      </c>
      <c r="J6" s="5" t="n">
        <v>60</v>
      </c>
    </row>
    <row r="7">
      <c r="A7" s="4" t="s">
        <v>12</v>
      </c>
      <c r="B7" s="9" t="n">
        <v>0</v>
      </c>
      <c r="C7" s="9" t="n">
        <v>0</v>
      </c>
      <c r="D7" s="9" t="n">
        <v>1</v>
      </c>
      <c r="E7" s="9" t="n">
        <v>1</v>
      </c>
      <c r="F7" s="9" t="n">
        <v>0</v>
      </c>
      <c r="G7" s="6"/>
      <c r="H7" s="10" t="n">
        <f aca="false">SUMPRODUCT(B7:F7,B10:F10)</f>
        <v>1</v>
      </c>
      <c r="I7" s="8" t="s">
        <v>9</v>
      </c>
      <c r="J7" s="9" t="n">
        <v>1</v>
      </c>
    </row>
    <row r="10">
      <c r="A10" s="4" t="s">
        <v>13</v>
      </c>
      <c r="B10" s="11" t="n">
        <v>1</v>
      </c>
      <c r="C10" s="11" t="n">
        <v>0</v>
      </c>
      <c r="D10" s="11" t="n">
        <v>0</v>
      </c>
      <c r="E10" s="11" t="n">
        <v>1</v>
      </c>
      <c r="F10" s="11" t="n">
        <v>1</v>
      </c>
    </row>
    <row r="11">
      <c r="A11" s="4" t="s">
        <v>14</v>
      </c>
      <c r="B11" s="12" t="s">
        <v>15</v>
      </c>
      <c r="C11" s="12" t="s">
        <v>15</v>
      </c>
      <c r="D11" s="12" t="s">
        <v>15</v>
      </c>
      <c r="E11" s="12" t="s">
        <v>15</v>
      </c>
      <c r="F11" s="12" t="s">
        <v>15</v>
      </c>
    </row>
    <row r="13">
      <c r="A13" s="4" t="s">
        <v>16</v>
      </c>
      <c r="B13" s="5" t="n">
        <v>120</v>
      </c>
      <c r="C13" s="5" t="n">
        <v>85</v>
      </c>
      <c r="D13" s="5" t="n">
        <v>105</v>
      </c>
      <c r="E13" s="5" t="n">
        <v>140</v>
      </c>
      <c r="F13" s="5" t="n">
        <v>70</v>
      </c>
      <c r="G13" s="3" t="s">
        <v>17</v>
      </c>
      <c r="H13" s="13" t="n">
        <f aca="false">SUMPRODUCT(B13:F13,B10:F10)</f>
        <v>330</v>
      </c>
    </row>
    <row r="15">
      <c r="A15" s="14" t="s">
        <v>18</v>
      </c>
    </row>
    <row r="16">
      <c r="A16" s="14" t="s">
        <v>19</v>
      </c>
    </row>
    <row r="17">
      <c r="A17" s="14" t="s">
        <v>20</v>
      </c>
    </row>
    <row r="18">
      <c r="A18" s="14" t="s">
        <v>21</v>
      </c>
    </row>
    <row r="19">
      <c r="A19" s="14" t="s">
        <v>22</v>
      </c>
    </row>
    <row r="20">
      <c r="A20" s="1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