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Model!$B$7:$B$15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Model!$H$6:$H$8</definedName>
    <definedName name="solver_lhs2" hidden="true" localSheetId="0">Model!$H$9</definedName>
    <definedName name="solver_lhs3" hidden="true" localSheetId="0">Model!$H$10</definedName>
    <definedName name="solver_lhs4" hidden="true" localSheetId="0">Model!$H$11</definedName>
    <definedName name="solver_lhs5" hidden="true" localSheetId="0">Model!$H$12</definedName>
    <definedName name="solver_lhs6" hidden="true" localSheetId="0">Model!$H$13:$H$17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6</definedName>
    <definedName name="solver_nwt" hidden="true" localSheetId="0">1</definedName>
    <definedName name="solver_opt" hidden="true" localSheetId="0">Model!$C$16</definedName>
    <definedName name="solver_pre" hidden="true" localSheetId="0">1</definedName>
    <definedName name="solver_rel1" hidden="true" localSheetId="0">1</definedName>
    <definedName name="solver_rel2" hidden="true" localSheetId="0">3</definedName>
    <definedName name="solver_rel3" hidden="true" localSheetId="0">1</definedName>
    <definedName name="solver_rel4" hidden="true" localSheetId="0">3</definedName>
    <definedName name="solver_rel5" hidden="true" localSheetId="0">1</definedName>
    <definedName name="solver_rel6" hidden="true" localSheetId="0">3</definedName>
    <definedName name="solver_rhs1" hidden="true" localSheetId="0">Model!$J$6:$J$8</definedName>
    <definedName name="solver_rhs2" hidden="true" localSheetId="0">Model!$J$9</definedName>
    <definedName name="solver_rhs3" hidden="true" localSheetId="0">Model!$J$10</definedName>
    <definedName name="solver_rhs4" hidden="true" localSheetId="0">Model!$J$11</definedName>
    <definedName name="solver_rhs5" hidden="true" localSheetId="0">Model!$J$12</definedName>
    <definedName name="solver_rhs6" hidden="true" localSheetId="0">Model!$J$13:$J$17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<sst xmlns="http://schemas.openxmlformats.org/spreadsheetml/2006/main" count="37" uniqueCount="37">
  <si>
    <t xml:space="preserve">A Blend Example: motor oil</t>
  </si>
  <si>
    <t xml:space="preserve">Component i in grade j</t>
  </si>
  <si>
    <t xml:space="preserve">Barrels</t>
  </si>
  <si>
    <t xml:space="preserve">Profit ($/bbl)</t>
  </si>
  <si>
    <t xml:space="preserve">X1S</t>
  </si>
  <si>
    <t xml:space="preserve">X2S</t>
  </si>
  <si>
    <t xml:space="preserve">X3S</t>
  </si>
  <si>
    <t xml:space="preserve">X1P</t>
  </si>
  <si>
    <t xml:space="preserve">X2P</t>
  </si>
  <si>
    <t xml:space="preserve">X3P</t>
  </si>
  <si>
    <t xml:space="preserve">X1E</t>
  </si>
  <si>
    <t xml:space="preserve">X2E</t>
  </si>
  <si>
    <t xml:space="preserve">X3E</t>
  </si>
  <si>
    <t xml:space="preserve">Total profit =</t>
  </si>
  <si>
    <t xml:space="preserve">Components / blends</t>
  </si>
  <si>
    <t xml:space="preserve">Achievement</t>
  </si>
  <si>
    <t xml:space="preserve">Constraints</t>
  </si>
  <si>
    <t xml:space="preserve">Requirements</t>
  </si>
  <si>
    <t xml:space="preserve">Slack/Surplus</t>
  </si>
  <si>
    <t xml:space="preserve">component 1 availability</t>
  </si>
  <si>
    <t xml:space="preserve">&lt;=</t>
  </si>
  <si>
    <t xml:space="preserve">component 2 availability</t>
  </si>
  <si>
    <t xml:space="preserve">component 3 availability</t>
  </si>
  <si>
    <t xml:space="preserve">super: at least 50% of 1</t>
  </si>
  <si>
    <t xml:space="preserve">&gt;=</t>
  </si>
  <si>
    <t xml:space="preserve">super: at most 30% of 2</t>
  </si>
  <si>
    <t xml:space="preserve">premium: at least 40% of 1</t>
  </si>
  <si>
    <t xml:space="preserve">premium: at most 25% of 3</t>
  </si>
  <si>
    <t xml:space="preserve">extra: at least 60% of 1</t>
  </si>
  <si>
    <t xml:space="preserve">extra: at least 10% of 2</t>
  </si>
  <si>
    <t xml:space="preserve">super required</t>
  </si>
  <si>
    <t xml:space="preserve">premium required</t>
  </si>
  <si>
    <t xml:space="preserve">extra required</t>
  </si>
  <si>
    <t xml:space="preserve">Legend: blue = data cells (edit to change the problem); yellow = changing cells (Solver decides); orange = objective cell.</t>
  </si>
  <si>
    <t xml:space="preserve">Solver: Max C16; changing cells B7:B15; each achievement cell in H6:H17 against its requirement in J; Make Unconstrained Variables Non-Negative; Simplex LP.</t>
  </si>
  <si>
    <t xml:space="preserve">Optimum: profit $76,800 per day. Components 1 and 2 are used up; each grade is made at exactly its 3,000-barrel minimum.</t>
  </si>
  <si>
    <t xml:space="preserve">The optimum is not unique. Another mix earning $76,800: super 1,500 of 1 and 1,500 of 3; premium 1,200 of 1, 1,500 of 2 and 300 of 3; extra 1,800 of 1 and 1,200 of 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</si>
</sst>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A1" sqref="A1"/>
    </sheetView>
  </sheetViews>
  <sheetFormatPr defaultColWidth="8.6796875" defaultRowHeight="15"/>
  <cols>
    <col min="1" max="1" width="22" customWidth="true"/>
    <col min="2" max="3" width="14" customWidth="true"/>
    <col min="4" max="4" width="3" customWidth="true"/>
    <col min="5" max="5" width="28" customWidth="true"/>
    <col min="6" max="7" width="3" customWidth="true"/>
    <col min="8" max="11" width="13" customWidth="true"/>
  </cols>
  <sheetData>
    <row r="1">
      <c r="A1" s="1" t="s">
        <v>0</v>
      </c>
    </row>
    <row r="5">
      <c r="A5" s="3" t="s">
        <v>1</v>
      </c>
      <c r="B5" s="3" t="s">
        <v>2</v>
      </c>
      <c r="C5" s="3" t="s">
        <v>3</v>
      </c>
      <c r="E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>
      <c r="E6" s="12" t="s">
        <v>19</v>
      </c>
      <c r="H6" s="10">
        <f>B7+B10+B13</f>
        <v>4500</v>
      </c>
      <c r="I6" s="8" t="s">
        <v>20</v>
      </c>
      <c r="J6" s="9">
        <v>4500</v>
      </c>
      <c r="K6" s="10">
        <f>J6-H6</f>
        <v>0</v>
      </c>
    </row>
    <row r="7">
      <c r="A7" s="12" t="s">
        <v>4</v>
      </c>
      <c r="B7" s="11">
        <v>1500</v>
      </c>
      <c r="C7" s="5">
        <v>11</v>
      </c>
      <c r="E7" s="12" t="s">
        <v>21</v>
      </c>
      <c r="H7" s="10">
        <f>B8+B11+B14</f>
        <v>2700</v>
      </c>
      <c r="I7" s="8" t="s">
        <v>20</v>
      </c>
      <c r="J7" s="9">
        <v>2700</v>
      </c>
      <c r="K7" s="10">
        <f>J7-H7</f>
        <v>0</v>
      </c>
    </row>
    <row r="8">
      <c r="A8" s="12" t="s">
        <v>5</v>
      </c>
      <c r="B8" s="11">
        <v>600</v>
      </c>
      <c r="C8" s="5">
        <v>13</v>
      </c>
      <c r="E8" s="12" t="s">
        <v>22</v>
      </c>
      <c r="H8" s="10">
        <f>B9+B12+B15</f>
        <v>1800</v>
      </c>
      <c r="I8" s="8" t="s">
        <v>20</v>
      </c>
      <c r="J8" s="9">
        <v>3500</v>
      </c>
      <c r="K8" s="10">
        <f>J8-H8</f>
        <v>1700</v>
      </c>
    </row>
    <row r="9">
      <c r="A9" s="12" t="s">
        <v>6</v>
      </c>
      <c r="B9" s="11">
        <v>900</v>
      </c>
      <c r="C9" s="5">
        <v>9</v>
      </c>
      <c r="E9" s="12" t="s">
        <v>23</v>
      </c>
      <c r="H9" s="10">
        <f>0.5*B7-0.5*B8-0.5*B9</f>
        <v>0</v>
      </c>
      <c r="I9" s="8" t="s">
        <v>24</v>
      </c>
      <c r="J9" s="9">
        <v>0</v>
      </c>
      <c r="K9" s="10">
        <f>H9-J9</f>
        <v>0</v>
      </c>
    </row>
    <row r="10">
      <c r="A10" s="12" t="s">
        <v>7</v>
      </c>
      <c r="B10" s="11">
        <v>1200</v>
      </c>
      <c r="C10" s="5">
        <v>8</v>
      </c>
      <c r="E10" s="12" t="s">
        <v>25</v>
      </c>
      <c r="H10" s="10">
        <f>-0.3*B7+0.7*B8-0.3*B9</f>
        <v>-300</v>
      </c>
      <c r="I10" s="8" t="s">
        <v>20</v>
      </c>
      <c r="J10" s="9">
        <v>0</v>
      </c>
      <c r="K10" s="10">
        <f>J10-H10</f>
        <v>300</v>
      </c>
    </row>
    <row r="11">
      <c r="A11" s="12" t="s">
        <v>8</v>
      </c>
      <c r="B11" s="11">
        <v>1800</v>
      </c>
      <c r="C11" s="5">
        <v>10</v>
      </c>
      <c r="E11" s="12" t="s">
        <v>26</v>
      </c>
      <c r="H11" s="10">
        <f>0.6*B10-0.4*B11-0.4*B12</f>
        <v>0</v>
      </c>
      <c r="I11" s="8" t="s">
        <v>24</v>
      </c>
      <c r="J11" s="9">
        <v>0</v>
      </c>
      <c r="K11" s="10">
        <f>H11-J11</f>
        <v>0</v>
      </c>
    </row>
    <row r="12">
      <c r="A12" s="12" t="s">
        <v>9</v>
      </c>
      <c r="B12" s="11">
        <v>0</v>
      </c>
      <c r="C12" s="5">
        <v>6</v>
      </c>
      <c r="E12" s="12" t="s">
        <v>27</v>
      </c>
      <c r="H12" s="10">
        <f>-0.25*B10-0.25*B11+0.75*B12</f>
        <v>-750</v>
      </c>
      <c r="I12" s="8" t="s">
        <v>20</v>
      </c>
      <c r="J12" s="9">
        <v>0</v>
      </c>
      <c r="K12" s="10">
        <f>J12-H12</f>
        <v>750</v>
      </c>
    </row>
    <row r="13">
      <c r="A13" s="12" t="s">
        <v>10</v>
      </c>
      <c r="B13" s="11">
        <v>1800</v>
      </c>
      <c r="C13" s="5">
        <v>6</v>
      </c>
      <c r="E13" s="12" t="s">
        <v>28</v>
      </c>
      <c r="H13" s="10">
        <f>0.4*B13-0.6*B14-0.6*B15</f>
        <v>0</v>
      </c>
      <c r="I13" s="8" t="s">
        <v>24</v>
      </c>
      <c r="J13" s="9">
        <v>0</v>
      </c>
      <c r="K13" s="10">
        <f>H13-J13</f>
        <v>0</v>
      </c>
    </row>
    <row r="14">
      <c r="A14" s="12" t="s">
        <v>11</v>
      </c>
      <c r="B14" s="11">
        <v>300</v>
      </c>
      <c r="C14" s="5">
        <v>8</v>
      </c>
      <c r="E14" s="12" t="s">
        <v>29</v>
      </c>
      <c r="H14" s="10">
        <f>-0.1*B13+0.9*B14-0.1*B15</f>
        <v>0</v>
      </c>
      <c r="I14" s="8" t="s">
        <v>24</v>
      </c>
      <c r="J14" s="9">
        <v>0</v>
      </c>
      <c r="K14" s="10">
        <f>H14-J14</f>
        <v>0</v>
      </c>
    </row>
    <row r="15">
      <c r="A15" s="12" t="s">
        <v>12</v>
      </c>
      <c r="B15" s="11">
        <v>900</v>
      </c>
      <c r="C15" s="5">
        <v>4</v>
      </c>
      <c r="E15" s="12" t="s">
        <v>30</v>
      </c>
      <c r="H15" s="10">
        <f>B7+B8+B9</f>
        <v>3000</v>
      </c>
      <c r="I15" s="8" t="s">
        <v>24</v>
      </c>
      <c r="J15" s="9">
        <v>3000</v>
      </c>
      <c r="K15" s="10">
        <f>H15-J15</f>
        <v>0</v>
      </c>
    </row>
    <row r="16">
      <c r="B16" s="4" t="s">
        <v>13</v>
      </c>
      <c r="C16" s="14">
        <f>SUMPRODUCT(B7:B15,C7:C15)</f>
        <v>76800</v>
      </c>
      <c r="E16" s="12" t="s">
        <v>31</v>
      </c>
      <c r="H16" s="10">
        <f>B10+B11+B12</f>
        <v>3000</v>
      </c>
      <c r="I16" s="8" t="s">
        <v>24</v>
      </c>
      <c r="J16" s="9">
        <v>3000</v>
      </c>
      <c r="K16" s="10">
        <f>H16-J16</f>
        <v>0</v>
      </c>
    </row>
    <row r="17">
      <c r="E17" s="12" t="s">
        <v>32</v>
      </c>
      <c r="H17" s="10">
        <f>B13+B14+B15</f>
        <v>3000</v>
      </c>
      <c r="I17" s="8" t="s">
        <v>24</v>
      </c>
      <c r="J17" s="9">
        <v>3000</v>
      </c>
      <c r="K17" s="10">
        <f>H17-J17</f>
        <v>0</v>
      </c>
    </row>
    <row r="19">
      <c r="A19" s="15" t="s">
        <v>33</v>
      </c>
    </row>
    <row r="20">
      <c r="A20" s="15" t="s">
        <v>34</v>
      </c>
    </row>
    <row r="21">
      <c r="A21" s="15" t="s">
        <v>35</v>
      </c>
    </row>
    <row r="22">
      <c r="A22" s="1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build_deck03_workbooks.py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