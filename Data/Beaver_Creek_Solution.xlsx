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  <sheet name="Answer Report 1" sheetId="2" r:id="rId11"/>
    <sheet name="Sensitivity Report 1" sheetId="3" r:id="rId12"/>
  </sheets>
  <definedNames>
    <definedName name="solver_adj" hidden="true" localSheetId="0">Model!$B$10:$B$11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Model!$E$6:$E$7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1</definedName>
    <definedName name="solver_nwt" hidden="true" localSheetId="0">1</definedName>
    <definedName name="solver_opt" hidden="true" localSheetId="0">Model!$B$12</definedName>
    <definedName name="solver_pre" hidden="true" localSheetId="0">1</definedName>
    <definedName name="solver_rel1" hidden="true" localSheetId="0">1</definedName>
    <definedName name="solver_rhs1" hidden="true" localSheetId="0">Model!$G$6:$G$7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<sst xmlns="http://schemas.openxmlformats.org/spreadsheetml/2006/main" count="61" uniqueCount="61">
  <si>
    <t xml:space="preserve">The Beaver Creek Pottery Company (solved)</t>
  </si>
  <si>
    <t xml:space="preserve">Products:</t>
  </si>
  <si>
    <t xml:space="preserve">Bowl (x1)</t>
  </si>
  <si>
    <t xml:space="preserve">Mug (x2)</t>
  </si>
  <si>
    <t xml:space="preserve">Profit per unit:</t>
  </si>
  <si>
    <t xml:space="preserve">Resources:</t>
  </si>
  <si>
    <t xml:space="preserve">Usage</t>
  </si>
  <si>
    <t xml:space="preserve">Constraint</t>
  </si>
  <si>
    <t xml:space="preserve">Available</t>
  </si>
  <si>
    <t xml:space="preserve">Left over</t>
  </si>
  <si>
    <t xml:space="preserve">    labor (hr/unit)</t>
  </si>
  <si>
    <t xml:space="preserve">&lt;=</t>
  </si>
  <si>
    <t xml:space="preserve">    clay (lb/unit)</t>
  </si>
  <si>
    <t xml:space="preserve">Production:</t>
  </si>
  <si>
    <t xml:space="preserve">   Bowls =</t>
  </si>
  <si>
    <t xml:space="preserve">   Mugs =</t>
  </si>
  <si>
    <t xml:space="preserve">   Profit =</t>
  </si>
  <si>
    <t xml:space="preserve">Legend: blue = data cells (edit to change the problem); yellow = changing cells (Solver decides); orange = objective cell.</t>
  </si>
  <si>
    <t xml:space="preserve">Solver: Max B12; changing cells B10:B11; constraints E6:E7 &lt;= G6:G7; Make Unconstrained Variables Non-Negative; Simplex LP.</t>
  </si>
  <si>
    <t xml:space="preserve">Optimum: 24 bowls, 8 mugs, profit $1,360. Both labor and clay are used up.</t>
  </si>
  <si>
    <t xml:space="preserve">Objective Cell (Max)</t>
  </si>
  <si>
    <t xml:space="preserve">Cell</t>
  </si>
  <si>
    <t xml:space="preserve">Name</t>
  </si>
  <si>
    <t xml:space="preserve">Original Value</t>
  </si>
  <si>
    <t xml:space="preserve">Final Value</t>
  </si>
  <si>
    <t xml:space="preserve">$B$12</t>
  </si>
  <si>
    <t xml:space="preserve">Profit =</t>
  </si>
  <si>
    <t xml:space="preserve">Variable Cells</t>
  </si>
  <si>
    <t xml:space="preserve">Integer</t>
  </si>
  <si>
    <t xml:space="preserve">$B$10</t>
  </si>
  <si>
    <t xml:space="preserve">Bowls =</t>
  </si>
  <si>
    <t xml:space="preserve">Contin</t>
  </si>
  <si>
    <t xml:space="preserve">$B$11</t>
  </si>
  <si>
    <t xml:space="preserve">Mugs =</t>
  </si>
  <si>
    <t xml:space="preserve">Constraints</t>
  </si>
  <si>
    <t xml:space="preserve">Cell Value</t>
  </si>
  <si>
    <t xml:space="preserve">Formula</t>
  </si>
  <si>
    <t xml:space="preserve">Status</t>
  </si>
  <si>
    <t xml:space="preserve">Slack</t>
  </si>
  <si>
    <t xml:space="preserve">$E$6</t>
  </si>
  <si>
    <t xml:space="preserve">labor (hr/unit) Usage</t>
  </si>
  <si>
    <t xml:space="preserve">$E$6&lt;=$G$6</t>
  </si>
  <si>
    <t xml:space="preserve">Binding</t>
  </si>
  <si>
    <t xml:space="preserve">$E$7</t>
  </si>
  <si>
    <t xml:space="preserve">clay (lb/unit) Usage</t>
  </si>
  <si>
    <t xml:space="preserve">$E$7&lt;=$G$7</t>
  </si>
  <si>
    <t xml:space="preserve">The report Solver writes when Answer is selected in the Solver Results dialog. Original values are those of Beaver_Creek_Model.xlsx.</t>
  </si>
  <si>
    <t xml:space="preserve">Final</t>
  </si>
  <si>
    <t xml:space="preserve">Reduced</t>
  </si>
  <si>
    <t xml:space="preserve">Objective</t>
  </si>
  <si>
    <t xml:space="preserve">Allowable</t>
  </si>
  <si>
    <t xml:space="preserve">Value</t>
  </si>
  <si>
    <t xml:space="preserve">Cost</t>
  </si>
  <si>
    <t xml:space="preserve">Coefficient</t>
  </si>
  <si>
    <t xml:space="preserve">Increase</t>
  </si>
  <si>
    <t xml:space="preserve">Decrease</t>
  </si>
  <si>
    <t xml:space="preserve">Shadow</t>
  </si>
  <si>
    <t xml:space="preserve">Price</t>
  </si>
  <si>
    <t xml:space="preserve">R.H. Side</t>
  </si>
  <si>
    <t xml:space="preserve">The report Solver writes when Sensitivity is selected in the Solver Results dialog.</t>
  </si>
  <si>
    <t xml:space="preserve">Profit per bowl may range from 25 to 66.67 and per mug from 30 to 80 without changing the solution; labor from 30 to 80 hr and clay from 60 to 160 lb keep the shadow prices.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</si>
</sst>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<Relationship Id="rId12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A1" sqref="A1"/>
    </sheetView>
  </sheetViews>
  <sheetFormatPr defaultColWidth="8.6796875" defaultRowHeight="15"/>
  <cols>
    <col min="1" max="1" width="22" customWidth="true"/>
    <col min="2" max="8" width="11" customWidth="true"/>
  </cols>
  <sheetData>
    <row r="1">
      <c r="A1" s="1" t="s">
        <v>0</v>
      </c>
    </row>
    <row r="3">
      <c r="A3" s="4" t="s">
        <v>1</v>
      </c>
      <c r="B3" s="12"/>
      <c r="C3" s="3" t="s">
        <v>2</v>
      </c>
      <c r="D3" s="3" t="s">
        <v>3</v>
      </c>
    </row>
    <row r="4">
      <c r="A4" s="4" t="s">
        <v>4</v>
      </c>
      <c r="B4" s="12"/>
      <c r="C4" s="5">
        <v>40</v>
      </c>
      <c r="D4" s="5">
        <v>50</v>
      </c>
    </row>
    <row r="5">
      <c r="A5" s="4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>
      <c r="A6" s="12" t="s">
        <v>10</v>
      </c>
      <c r="B6" s="12"/>
      <c r="C6" s="9">
        <v>1</v>
      </c>
      <c r="D6" s="9">
        <v>2</v>
      </c>
      <c r="E6" s="10">
        <f>C6*B10+D6*B11</f>
        <v>40</v>
      </c>
      <c r="F6" s="8" t="s">
        <v>11</v>
      </c>
      <c r="G6" s="9">
        <v>40</v>
      </c>
      <c r="H6" s="10">
        <f>G6-E6</f>
        <v>0</v>
      </c>
    </row>
    <row r="7">
      <c r="A7" s="12" t="s">
        <v>12</v>
      </c>
      <c r="B7" s="12"/>
      <c r="C7" s="9">
        <v>4</v>
      </c>
      <c r="D7" s="9">
        <v>3</v>
      </c>
      <c r="E7" s="10">
        <f>C7*B10+D7*B11</f>
        <v>120</v>
      </c>
      <c r="F7" s="8" t="s">
        <v>11</v>
      </c>
      <c r="G7" s="9">
        <v>120</v>
      </c>
      <c r="H7" s="10">
        <f>G7-E7</f>
        <v>0</v>
      </c>
    </row>
    <row r="9">
      <c r="A9" s="4" t="s">
        <v>13</v>
      </c>
    </row>
    <row r="10">
      <c r="A10" s="4" t="s">
        <v>14</v>
      </c>
      <c r="B10" s="11">
        <v>24</v>
      </c>
    </row>
    <row r="11">
      <c r="A11" s="4" t="s">
        <v>15</v>
      </c>
      <c r="B11" s="11">
        <v>8</v>
      </c>
    </row>
    <row r="12">
      <c r="A12" s="4" t="s">
        <v>16</v>
      </c>
      <c r="B12" s="14">
        <f>C4*B10+D4*B11</f>
        <v>1360</v>
      </c>
    </row>
    <row r="14">
      <c r="A14" s="15" t="s">
        <v>17</v>
      </c>
    </row>
    <row r="15">
      <c r="A15" s="15" t="s">
        <v>18</v>
      </c>
    </row>
    <row r="16">
      <c r="A16" s="1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A1" sqref="A1"/>
    </sheetView>
  </sheetViews>
  <sheetFormatPr defaultColWidth="8.6796875" defaultRowHeight="15"/>
  <cols>
    <col min="1" max="1" width="3" customWidth="true"/>
    <col min="2" max="2" width="9" customWidth="true"/>
    <col min="3" max="3" width="24" customWidth="true"/>
    <col min="4" max="8" width="13" customWidth="true"/>
  </cols>
  <sheetData>
    <row r="2">
      <c r="A2" s="6" t="s">
        <v>20</v>
      </c>
    </row>
    <row r="3">
      <c r="B3" s="3" t="s">
        <v>21</v>
      </c>
      <c r="C3" s="3" t="s">
        <v>22</v>
      </c>
      <c r="D3" s="3" t="s">
        <v>23</v>
      </c>
      <c r="E3" s="3" t="s">
        <v>24</v>
      </c>
    </row>
    <row r="4">
      <c r="B4" s="12" t="s">
        <v>25</v>
      </c>
      <c r="C4" s="12" t="s">
        <v>26</v>
      </c>
      <c r="D4" s="12">
        <v>0</v>
      </c>
      <c r="E4" s="12">
        <v>1360</v>
      </c>
    </row>
    <row r="7">
      <c r="A7" s="6" t="s">
        <v>27</v>
      </c>
    </row>
    <row r="8">
      <c r="B8" s="3" t="s">
        <v>21</v>
      </c>
      <c r="C8" s="3" t="s">
        <v>22</v>
      </c>
      <c r="D8" s="3" t="s">
        <v>23</v>
      </c>
      <c r="E8" s="3" t="s">
        <v>24</v>
      </c>
      <c r="F8" s="3" t="s">
        <v>28</v>
      </c>
    </row>
    <row r="9">
      <c r="B9" s="12" t="s">
        <v>29</v>
      </c>
      <c r="C9" s="12" t="s">
        <v>30</v>
      </c>
      <c r="D9" s="12">
        <v>0</v>
      </c>
      <c r="E9" s="12">
        <v>24</v>
      </c>
      <c r="F9" s="12" t="s">
        <v>31</v>
      </c>
    </row>
    <row r="10">
      <c r="B10" s="12" t="s">
        <v>32</v>
      </c>
      <c r="C10" s="12" t="s">
        <v>33</v>
      </c>
      <c r="D10" s="12">
        <v>0</v>
      </c>
      <c r="E10" s="12">
        <v>8</v>
      </c>
      <c r="F10" s="12" t="s">
        <v>31</v>
      </c>
    </row>
    <row r="13">
      <c r="A13" s="6" t="s">
        <v>34</v>
      </c>
    </row>
    <row r="14">
      <c r="B14" s="3" t="s">
        <v>21</v>
      </c>
      <c r="C14" s="3" t="s">
        <v>22</v>
      </c>
      <c r="D14" s="3" t="s">
        <v>35</v>
      </c>
      <c r="E14" s="3" t="s">
        <v>36</v>
      </c>
      <c r="F14" s="3" t="s">
        <v>37</v>
      </c>
      <c r="G14" s="3" t="s">
        <v>38</v>
      </c>
    </row>
    <row r="15">
      <c r="B15" s="12" t="s">
        <v>39</v>
      </c>
      <c r="C15" s="12" t="s">
        <v>40</v>
      </c>
      <c r="D15" s="12">
        <v>40</v>
      </c>
      <c r="E15" s="12" t="s">
        <v>41</v>
      </c>
      <c r="F15" s="12" t="s">
        <v>42</v>
      </c>
      <c r="G15" s="12">
        <v>0</v>
      </c>
    </row>
    <row r="16">
      <c r="B16" s="12" t="s">
        <v>43</v>
      </c>
      <c r="C16" s="12" t="s">
        <v>44</v>
      </c>
      <c r="D16" s="12">
        <v>120</v>
      </c>
      <c r="E16" s="12" t="s">
        <v>45</v>
      </c>
      <c r="F16" s="12" t="s">
        <v>42</v>
      </c>
      <c r="G16" s="12">
        <v>0</v>
      </c>
    </row>
    <row r="19">
      <c r="A19" s="15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A1" sqref="A1"/>
    </sheetView>
  </sheetViews>
  <sheetFormatPr defaultColWidth="8.6796875" defaultRowHeight="15"/>
  <cols>
    <col min="1" max="1" width="3" customWidth="true"/>
    <col min="2" max="2" width="9" customWidth="true"/>
    <col min="3" max="3" width="24" customWidth="true"/>
    <col min="4" max="8" width="13" customWidth="true"/>
  </cols>
  <sheetData>
    <row r="2">
      <c r="A2" s="6" t="s">
        <v>27</v>
      </c>
    </row>
    <row r="3">
      <c r="D3" s="3" t="s">
        <v>47</v>
      </c>
      <c r="E3" s="3" t="s">
        <v>48</v>
      </c>
      <c r="F3" s="3" t="s">
        <v>49</v>
      </c>
      <c r="G3" s="3" t="s">
        <v>50</v>
      </c>
      <c r="H3" s="3" t="s">
        <v>50</v>
      </c>
    </row>
    <row r="4">
      <c r="B4" s="3" t="s">
        <v>21</v>
      </c>
      <c r="C4" s="3" t="s">
        <v>22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</row>
    <row r="5">
      <c r="B5" s="12" t="s">
        <v>29</v>
      </c>
      <c r="C5" s="12" t="s">
        <v>30</v>
      </c>
      <c r="D5" s="12">
        <v>24</v>
      </c>
      <c r="E5" s="12">
        <v>0</v>
      </c>
      <c r="F5" s="12">
        <v>40</v>
      </c>
      <c r="G5" s="12">
        <v>26.666666666666668</v>
      </c>
      <c r="H5" s="12">
        <v>15</v>
      </c>
    </row>
    <row r="6">
      <c r="B6" s="12" t="s">
        <v>32</v>
      </c>
      <c r="C6" s="12" t="s">
        <v>33</v>
      </c>
      <c r="D6" s="12">
        <v>8</v>
      </c>
      <c r="E6" s="12">
        <v>0</v>
      </c>
      <c r="F6" s="12">
        <v>50</v>
      </c>
      <c r="G6" s="12">
        <v>30</v>
      </c>
      <c r="H6" s="12">
        <v>20</v>
      </c>
    </row>
    <row r="8">
      <c r="A8" s="6" t="s">
        <v>34</v>
      </c>
    </row>
    <row r="9">
      <c r="D9" s="3" t="s">
        <v>47</v>
      </c>
      <c r="E9" s="3" t="s">
        <v>56</v>
      </c>
      <c r="F9" s="3" t="s">
        <v>7</v>
      </c>
      <c r="G9" s="3" t="s">
        <v>50</v>
      </c>
      <c r="H9" s="3" t="s">
        <v>50</v>
      </c>
    </row>
    <row r="10">
      <c r="B10" s="3" t="s">
        <v>21</v>
      </c>
      <c r="C10" s="3" t="s">
        <v>22</v>
      </c>
      <c r="D10" s="3" t="s">
        <v>51</v>
      </c>
      <c r="E10" s="3" t="s">
        <v>57</v>
      </c>
      <c r="F10" s="3" t="s">
        <v>58</v>
      </c>
      <c r="G10" s="3" t="s">
        <v>54</v>
      </c>
      <c r="H10" s="3" t="s">
        <v>55</v>
      </c>
    </row>
    <row r="11">
      <c r="B11" s="12" t="s">
        <v>39</v>
      </c>
      <c r="C11" s="12" t="s">
        <v>40</v>
      </c>
      <c r="D11" s="12">
        <v>40</v>
      </c>
      <c r="E11" s="12">
        <v>16</v>
      </c>
      <c r="F11" s="12">
        <v>40</v>
      </c>
      <c r="G11" s="12">
        <v>40</v>
      </c>
      <c r="H11" s="12">
        <v>10</v>
      </c>
    </row>
    <row r="12">
      <c r="B12" s="12" t="s">
        <v>43</v>
      </c>
      <c r="C12" s="12" t="s">
        <v>44</v>
      </c>
      <c r="D12" s="12">
        <v>120</v>
      </c>
      <c r="E12" s="12">
        <v>6</v>
      </c>
      <c r="F12" s="12">
        <v>120</v>
      </c>
      <c r="G12" s="12">
        <v>40</v>
      </c>
      <c r="H12" s="12">
        <v>60</v>
      </c>
    </row>
    <row r="15">
      <c r="A15" s="15" t="s">
        <v>59</v>
      </c>
    </row>
    <row r="16">
      <c r="A16" s="1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build_beaver_creek.py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