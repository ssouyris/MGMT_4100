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Model!$B$13:$B$16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Model!$H$6:$H$7</definedName>
    <definedName name="solver_lhs2" hidden="true" localSheetId="0">Model!$H$8:$H$9</definedName>
    <definedName name="solver_lhs3" hidden="true" localSheetId="0">Model!$H$10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3</definedName>
    <definedName name="solver_nwt" hidden="true" localSheetId="0">1</definedName>
    <definedName name="solver_opt" hidden="true" localSheetId="0">Model!$B$17</definedName>
    <definedName name="solver_pre" hidden="true" localSheetId="0">1</definedName>
    <definedName name="solver_rel1" hidden="true" localSheetId="0">1</definedName>
    <definedName name="solver_rel2" hidden="true" localSheetId="0">3</definedName>
    <definedName name="solver_rel3" hidden="true" localSheetId="0">2</definedName>
    <definedName name="solver_rhs1" hidden="true" localSheetId="0">Model!$J$6:$J$7</definedName>
    <definedName name="solver_rhs2" hidden="true" localSheetId="0">Model!$J$8:$J$9</definedName>
    <definedName name="solver_rhs3" hidden="true" localSheetId="0">Model!$J$10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<sst xmlns="http://schemas.openxmlformats.org/spreadsheetml/2006/main" count="34" uniqueCount="34">
  <si>
    <t xml:space="preserve">An Investment Example: Kathleen's portfolio</t>
  </si>
  <si>
    <t xml:space="preserve">Investments:</t>
  </si>
  <si>
    <t xml:space="preserve">X1</t>
  </si>
  <si>
    <t xml:space="preserve">X2</t>
  </si>
  <si>
    <t xml:space="preserve">X3</t>
  </si>
  <si>
    <t xml:space="preserve">X4</t>
  </si>
  <si>
    <t xml:space="preserve">Rate of return:</t>
  </si>
  <si>
    <t xml:space="preserve">Guidelines:</t>
  </si>
  <si>
    <t xml:space="preserve">Achievement</t>
  </si>
  <si>
    <t xml:space="preserve">Constraints</t>
  </si>
  <si>
    <t xml:space="preserve">Requirements</t>
  </si>
  <si>
    <t xml:space="preserve">Slack/Surplus</t>
  </si>
  <si>
    <t xml:space="preserve">   1. municipal bonds</t>
  </si>
  <si>
    <t xml:space="preserve">&lt;=</t>
  </si>
  <si>
    <t xml:space="preserve">   2. CDs</t>
  </si>
  <si>
    <t xml:space="preserve">   3. treasury bills and CDs</t>
  </si>
  <si>
    <t xml:space="preserve">&gt;=</t>
  </si>
  <si>
    <t xml:space="preserve">   4. ratio</t>
  </si>
  <si>
    <t xml:space="preserve">   total invested</t>
  </si>
  <si>
    <t xml:space="preserve">=</t>
  </si>
  <si>
    <t xml:space="preserve">Returns:</t>
  </si>
  <si>
    <t xml:space="preserve">X1 =</t>
  </si>
  <si>
    <t xml:space="preserve">invested in municipal bonds</t>
  </si>
  <si>
    <t xml:space="preserve">X2 =</t>
  </si>
  <si>
    <t xml:space="preserve">invested in CDs</t>
  </si>
  <si>
    <t xml:space="preserve">X3 =</t>
  </si>
  <si>
    <t xml:space="preserve">invested in treasury bills</t>
  </si>
  <si>
    <t xml:space="preserve">X4 =</t>
  </si>
  <si>
    <t xml:space="preserve">invested in stock fund</t>
  </si>
  <si>
    <t xml:space="preserve">Z =</t>
  </si>
  <si>
    <t xml:space="preserve">total return ($)</t>
  </si>
  <si>
    <t xml:space="preserve">Legend: blue = data cells (edit to change the problem); yellow = changing cells (Solver decides); orange = objective cell.</t>
  </si>
  <si>
    <t xml:space="preserve">Solver: Max B17; changing cells B13:B16; H6:H7 &lt;= J6:J7; H8:H9 &gt;= J8:J9; H10 = J10; Make Unconstrained Variables Non-Negative; Simplex LP.</t>
  </si>
  <si>
    <t xml:space="preserve">Optimum: $38,181.82 in treasury bills and $31,818.18 in the stock fund; return $6,618.18. The ratio guideline binds.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</si>
</sst>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A1" sqref="A1"/>
    </sheetView>
  </sheetViews>
  <sheetFormatPr defaultColWidth="8.6796875" defaultRowHeight="15"/>
  <cols>
    <col min="1" max="1" width="28" customWidth="true"/>
    <col min="2" max="2" width="11" customWidth="true"/>
    <col min="3" max="3" width="26" customWidth="true"/>
    <col min="4" max="11" width="12" customWidth="true"/>
  </cols>
  <sheetData>
    <row r="1">
      <c r="A1" s="1" t="s">
        <v>0</v>
      </c>
    </row>
    <row r="3">
      <c r="A3" s="4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>
      <c r="A4" s="4" t="s">
        <v>6</v>
      </c>
      <c r="D4" s="9">
        <v>0.085</v>
      </c>
      <c r="E4" s="9">
        <v>0.05</v>
      </c>
      <c r="F4" s="9">
        <v>0.065</v>
      </c>
      <c r="G4" s="9">
        <v>0.13</v>
      </c>
    </row>
    <row r="5">
      <c r="A5" s="4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>
      <c r="A6" s="12" t="s">
        <v>12</v>
      </c>
      <c r="D6" s="9">
        <v>1</v>
      </c>
      <c r="H6" s="10">
        <f>D6*B13</f>
        <v>0</v>
      </c>
      <c r="I6" s="8" t="s">
        <v>13</v>
      </c>
      <c r="J6" s="9">
        <v>14000</v>
      </c>
      <c r="K6" s="10">
        <f>J6-H6</f>
        <v>14000</v>
      </c>
    </row>
    <row r="7">
      <c r="A7" s="12" t="s">
        <v>14</v>
      </c>
      <c r="D7" s="9">
        <v>-1</v>
      </c>
      <c r="E7" s="9">
        <v>1</v>
      </c>
      <c r="F7" s="9">
        <v>-1</v>
      </c>
      <c r="G7" s="9">
        <v>-1</v>
      </c>
      <c r="H7" s="10">
        <f>D7*B13+E7*B14+F7*B15+G7*B16</f>
        <v>-70000</v>
      </c>
      <c r="I7" s="8" t="s">
        <v>13</v>
      </c>
      <c r="J7" s="9">
        <v>0</v>
      </c>
      <c r="K7" s="10">
        <f>J7-H7</f>
        <v>70000</v>
      </c>
    </row>
    <row r="8">
      <c r="A8" s="12" t="s">
        <v>15</v>
      </c>
      <c r="E8" s="9">
        <v>1</v>
      </c>
      <c r="F8" s="9">
        <v>1</v>
      </c>
      <c r="H8" s="10">
        <f>E8*B14+F8*B15</f>
        <v>38181.818181818184</v>
      </c>
      <c r="I8" s="8" t="s">
        <v>16</v>
      </c>
      <c r="J8" s="9">
        <v>21000</v>
      </c>
      <c r="K8" s="10">
        <f>H8-J8</f>
        <v>17181.81818181818</v>
      </c>
    </row>
    <row r="9">
      <c r="A9" s="12" t="s">
        <v>17</v>
      </c>
      <c r="D9" s="9">
        <v>-1.2</v>
      </c>
      <c r="E9" s="9">
        <v>1</v>
      </c>
      <c r="F9" s="9">
        <v>1</v>
      </c>
      <c r="G9" s="9">
        <v>-1.2</v>
      </c>
      <c r="H9" s="10">
        <f>D9*B13+E9*B14+F9*B15+G9*B16</f>
        <v>0</v>
      </c>
      <c r="I9" s="8" t="s">
        <v>16</v>
      </c>
      <c r="J9" s="9">
        <v>0</v>
      </c>
      <c r="K9" s="10">
        <f>H9-J9</f>
        <v>0</v>
      </c>
    </row>
    <row r="10">
      <c r="A10" s="12" t="s">
        <v>18</v>
      </c>
      <c r="D10" s="9">
        <v>1</v>
      </c>
      <c r="E10" s="9">
        <v>1</v>
      </c>
      <c r="F10" s="9">
        <v>1</v>
      </c>
      <c r="G10" s="9">
        <v>1</v>
      </c>
      <c r="H10" s="10">
        <f>D10*B13+E10*B14+F10*B15+G10*B16</f>
        <v>70000</v>
      </c>
      <c r="I10" s="8" t="s">
        <v>19</v>
      </c>
      <c r="J10" s="9">
        <v>70000</v>
      </c>
      <c r="K10" s="10">
        <f>J10-H10</f>
        <v>0</v>
      </c>
    </row>
    <row r="12">
      <c r="A12" s="4" t="s">
        <v>20</v>
      </c>
    </row>
    <row r="13">
      <c r="A13" s="4" t="s">
        <v>21</v>
      </c>
      <c r="B13" s="11">
        <v>0</v>
      </c>
      <c r="C13" s="12" t="s">
        <v>22</v>
      </c>
    </row>
    <row r="14">
      <c r="A14" s="4" t="s">
        <v>23</v>
      </c>
      <c r="B14" s="11">
        <v>0</v>
      </c>
      <c r="C14" s="12" t="s">
        <v>24</v>
      </c>
    </row>
    <row r="15">
      <c r="A15" s="4" t="s">
        <v>25</v>
      </c>
      <c r="B15" s="11">
        <v>38181.818181818184</v>
      </c>
      <c r="C15" s="12" t="s">
        <v>26</v>
      </c>
    </row>
    <row r="16">
      <c r="A16" s="4" t="s">
        <v>27</v>
      </c>
      <c r="B16" s="11">
        <v>31818.18181818182</v>
      </c>
      <c r="C16" s="12" t="s">
        <v>28</v>
      </c>
    </row>
    <row r="17">
      <c r="A17" s="4" t="s">
        <v>29</v>
      </c>
      <c r="B17" s="14">
        <f>D4*B13+E4*B14+F4*B15+G4*B16</f>
        <v>6618.181818181818</v>
      </c>
      <c r="C17" s="12" t="s">
        <v>30</v>
      </c>
    </row>
    <row r="19">
      <c r="A19" s="15" t="s">
        <v>31</v>
      </c>
    </row>
    <row r="20">
      <c r="A20" s="15" t="s">
        <v>32</v>
      </c>
    </row>
    <row r="21">
      <c r="A21" s="1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build_deck03_workbooks.py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2026-09-21T00:00:00Z</dcterms:created>
  <dcterms:modified xsi:type="dcterms:W3CDTF">2026-09-21T00:00:00Z</dcterms:modified>
</cp:coreProperties>
</file>