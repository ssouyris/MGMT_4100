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riteria" sheetId="1" r:id="rId10"/>
    <sheet name="EV" sheetId="2" r:id="rId11"/>
    <sheet name="Study" sheetId="3" r:id="rId12"/>
  </sheets>
  <calcPr iterateCount="100" refMode="A1" iterate="false" iterateDelta="0.0001" fullCalcOnLoad="true"/>
</workbook>
</file>

<file path=xl/sharedStrings.xml><?xml version="1.0" encoding="utf-8"?>
<sst xmlns="http://schemas.openxmlformats.org/spreadsheetml/2006/main" count="66" uniqueCount="66">
  <si>
    <t xml:space="preserve">Hudson Service Plaza: how many EV fast chargers? (fictional)</t>
  </si>
  <si>
    <t xml:space="preserve">Legend: blue = inputs (edit them and every answer recalculates); orange = the answer. Payoffs are annual profit in $000.</t>
  </si>
  <si>
    <t xml:space="preserve">Alternative</t>
  </si>
  <si>
    <t xml:space="preserve">Slow</t>
  </si>
  <si>
    <t xml:space="preserve">Moderate</t>
  </si>
  <si>
    <t xml:space="preserve">Fast</t>
  </si>
  <si>
    <t xml:space="preserve">Row max</t>
  </si>
  <si>
    <t xml:space="preserve">Row min</t>
  </si>
  <si>
    <t xml:space="preserve">Hurwicz</t>
  </si>
  <si>
    <t xml:space="preserve">Average</t>
  </si>
  <si>
    <t xml:space="preserve">Max regret</t>
  </si>
  <si>
    <t xml:space="preserve">2 chargers</t>
  </si>
  <si>
    <t xml:space="preserve">6 chargers</t>
  </si>
  <si>
    <t xml:space="preserve">12 chargers</t>
  </si>
  <si>
    <t xml:space="preserve">Hurwicz alpha (optimism)</t>
  </si>
  <si>
    <t xml:space="preserve">between 0 (maximin) and 1 (maximax)</t>
  </si>
  <si>
    <t xml:space="preserve">Regret table: best payoff in the column minus the payoff</t>
  </si>
  <si>
    <t xml:space="preserve">Best in column</t>
  </si>
  <si>
    <t xml:space="preserve">Regret</t>
  </si>
  <si>
    <t xml:space="preserve">Criterion</t>
  </si>
  <si>
    <t xml:space="preserve">Choice</t>
  </si>
  <si>
    <t xml:space="preserve">Value</t>
  </si>
  <si>
    <t xml:space="preserve">Maximax</t>
  </si>
  <si>
    <t xml:space="preserve">Maximin</t>
  </si>
  <si>
    <t xml:space="preserve">Minimax regret</t>
  </si>
  <si>
    <t xml:space="preserve">Equal likelihood</t>
  </si>
  <si>
    <t xml:space="preserve">Change alpha in B9: Hurwicz picks 2 chargers below 0.25, 6 chargers from 0.25 to 0.444 and 12 chargers above.</t>
  </si>
  <si>
    <t xml:space="preserve">Decisions with probabilities: EV, EOL and EVPI</t>
  </si>
  <si>
    <t xml:space="preserve">Legend: blue = inputs (edit them and every answer recalculates); orange = the answer. Payoffs are annual profit in $000. Payoffs and regrets come from the Criteria sheet.</t>
  </si>
  <si>
    <t xml:space="preserve">Sum</t>
  </si>
  <si>
    <t xml:space="preserve">Probability</t>
  </si>
  <si>
    <t xml:space="preserve">must equal 1</t>
  </si>
  <si>
    <t xml:space="preserve">EV</t>
  </si>
  <si>
    <t xml:space="preserve">EOL</t>
  </si>
  <si>
    <t xml:space="preserve">Best payoff in each state</t>
  </si>
  <si>
    <t xml:space="preserve">EV choice</t>
  </si>
  <si>
    <t xml:space="preserve">Best EV (without information)</t>
  </si>
  <si>
    <t xml:space="preserve">EV with perfect information</t>
  </si>
  <si>
    <t xml:space="preserve">EVPI = EV with PI minus best EV</t>
  </si>
  <si>
    <t xml:space="preserve">Smallest EOL (equals EVPI)</t>
  </si>
  <si>
    <t xml:space="preserve">Raise P(fast) and lower the other two: EV switches from 6 to 12 chargers at P(fast) = 0.266 when slow and moderate keep their 3 to 5 ratio.</t>
  </si>
  <si>
    <t xml:space="preserve">The market study: Bayes table, folded tree, EVSI</t>
  </si>
  <si>
    <t xml:space="preserve">Legend: blue = inputs (edit them and every answer recalculates); orange = the answer. Payoffs are annual profit in $000. Priors come from the EV sheet.</t>
  </si>
  <si>
    <t xml:space="preserve">Study cost ($000)</t>
  </si>
  <si>
    <t xml:space="preserve">State</t>
  </si>
  <si>
    <t xml:space="preserve">Prior</t>
  </si>
  <si>
    <t xml:space="preserve">P(F | state)</t>
  </si>
  <si>
    <t xml:space="preserve">P(U | state)</t>
  </si>
  <si>
    <t xml:space="preserve">Joint, F</t>
  </si>
  <si>
    <t xml:space="preserve">Joint, U</t>
  </si>
  <si>
    <t xml:space="preserve">Posterior | F</t>
  </si>
  <si>
    <t xml:space="preserve">Posterior | U</t>
  </si>
  <si>
    <t xml:space="preserve">P(report)</t>
  </si>
  <si>
    <t xml:space="preserve">EV | Favorable</t>
  </si>
  <si>
    <t xml:space="preserve">EV | Unfavorable</t>
  </si>
  <si>
    <t xml:space="preserve">Decision after the report</t>
  </si>
  <si>
    <t xml:space="preserve">EV of that decision</t>
  </si>
  <si>
    <t xml:space="preserve">EV with the study, before its cost</t>
  </si>
  <si>
    <t xml:space="preserve">EV without the study (EV sheet)</t>
  </si>
  <si>
    <t xml:space="preserve">EVSI</t>
  </si>
  <si>
    <t xml:space="preserve">EVPI (EV sheet)</t>
  </si>
  <si>
    <t xml:space="preserve">Efficiency = EVSI / EVPI</t>
  </si>
  <si>
    <t xml:space="preserve">EV with the study, net of its cost</t>
  </si>
  <si>
    <t xml:space="preserve">Gain from buying the study</t>
  </si>
  <si>
    <t xml:space="preserve">Decision</t>
  </si>
  <si>
    <t xml:space="preserve">Subtract the cost once: EVSI is measured before the cost and compared with it. The study is worth buying when EVSI exceeds its cost, here 10.2 against 8.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</si>
</sst>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"/>
    <numFmt numFmtId="166" formatCode="#,##0"/>
    <numFmt numFmtId="167" formatCode="\$#,##0.00"/>
    <numFmt numFmtId="168" formatCode="0.0"/>
    <numFmt numFmtId="169" formatCode="0.000"/>
    <numFmt numFmtId="170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1EDF5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NumberForma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1" xfId="0" applyFont="true" applyNumberForma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" xfId="0" applyFont="true" applyNumberFormat="true" applyBorder="true" applyAlignment="true" applyProtection="false">
      <alignment horizontal="center" vertical="bottom" textRotation="0" wrapText="false" indent="0" shrinkToFit="false"/>
      <protection locked="true" hidden="false"/>
    </xf>
    <xf numFmtId="9" fontId="7" fillId="0" borderId="1" xfId="0" applyFont="true" applyNumberForma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4" borderId="1" xfId="0" applyFont="true" applyNumberForma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1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0" Type="http://schemas.openxmlformats.org/officeDocument/2006/relationships/worksheet" Target="worksheets/sheet1.xml"/><Relationship Id="rId11" Type="http://schemas.openxmlformats.org/officeDocument/2006/relationships/worksheet" Target="worksheets/sheet2.xml"/><Relationship Id="rId12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workbookViewId="0">
      <selection activeCell="A1" sqref="A1"/>
    </sheetView>
  </sheetViews>
  <sheetFormatPr defaultColWidth="8.6796875" defaultRowHeight="15"/>
  <cols>
    <col min="1" max="1" width="30" customWidth="true"/>
    <col min="2" max="10" width="13" customWidth="true"/>
  </cols>
  <sheetData>
    <row r="1">
      <c r="A1" s="1" t="s">
        <v>0</v>
      </c>
    </row>
    <row r="2">
      <c r="A2" s="15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>
      <c r="A5" s="12" t="s">
        <v>11</v>
      </c>
      <c r="B5" s="9">
        <v>40</v>
      </c>
      <c r="C5" s="9">
        <v>60</v>
      </c>
      <c r="D5" s="9">
        <v>70</v>
      </c>
      <c r="E5" s="10">
        <f>MAX(B5:D5)</f>
        <v>70</v>
      </c>
      <c r="F5" s="10">
        <f>MIN(B5:D5)</f>
        <v>40</v>
      </c>
      <c r="G5" s="17">
        <f>$B$9*E5+(1-$B$9)*F5</f>
        <v>58</v>
      </c>
      <c r="H5" s="17">
        <f>AVERAGE(B5:D5)</f>
        <v>56.666666666666664</v>
      </c>
      <c r="I5" s="10">
        <f>MAX(B14:D14)</f>
        <v>190</v>
      </c>
    </row>
    <row r="6">
      <c r="A6" s="12" t="s">
        <v>12</v>
      </c>
      <c r="B6" s="9">
        <v>10</v>
      </c>
      <c r="C6" s="9">
        <v>110</v>
      </c>
      <c r="D6" s="9">
        <v>160</v>
      </c>
      <c r="E6" s="10">
        <f>MAX(B6:D6)</f>
        <v>160</v>
      </c>
      <c r="F6" s="10">
        <f>MIN(B6:D6)</f>
        <v>10</v>
      </c>
      <c r="G6" s="17">
        <f>$B$9*E6+(1-$B$9)*F6</f>
        <v>100</v>
      </c>
      <c r="H6" s="17">
        <f>AVERAGE(B6:D6)</f>
        <v>93.33333333333333</v>
      </c>
      <c r="I6" s="10">
        <f>MAX(B15:D15)</f>
        <v>100</v>
      </c>
    </row>
    <row r="7">
      <c r="A7" s="12" t="s">
        <v>13</v>
      </c>
      <c r="B7" s="9">
        <v>-70</v>
      </c>
      <c r="C7" s="9">
        <v>100</v>
      </c>
      <c r="D7" s="9">
        <v>260</v>
      </c>
      <c r="E7" s="10">
        <f>MAX(B7:D7)</f>
        <v>260</v>
      </c>
      <c r="F7" s="10">
        <f>MIN(B7:D7)</f>
        <v>-70</v>
      </c>
      <c r="G7" s="17">
        <f>$B$9*E7+(1-$B$9)*F7</f>
        <v>128</v>
      </c>
      <c r="H7" s="17">
        <f>AVERAGE(B7:D7)</f>
        <v>96.66666666666667</v>
      </c>
      <c r="I7" s="10">
        <f>MAX(B16:D16)</f>
        <v>110</v>
      </c>
    </row>
    <row r="9">
      <c r="A9" s="4" t="s">
        <v>14</v>
      </c>
      <c r="B9" s="16">
        <v>0.6</v>
      </c>
      <c r="C9" s="15" t="s">
        <v>15</v>
      </c>
    </row>
    <row r="11">
      <c r="A11" s="4" t="s">
        <v>16</v>
      </c>
    </row>
    <row r="12">
      <c r="A12" s="12" t="s">
        <v>17</v>
      </c>
      <c r="B12" s="10">
        <f>MAX(B5:B7)</f>
        <v>40</v>
      </c>
      <c r="C12" s="10">
        <f>MAX(C5:C7)</f>
        <v>110</v>
      </c>
      <c r="D12" s="10">
        <f>MAX(D5:D7)</f>
        <v>260</v>
      </c>
    </row>
    <row r="13">
      <c r="A13" s="3" t="s">
        <v>18</v>
      </c>
      <c r="B13" s="3" t="s">
        <v>3</v>
      </c>
      <c r="C13" s="3" t="s">
        <v>4</v>
      </c>
      <c r="D13" s="3" t="s">
        <v>5</v>
      </c>
    </row>
    <row r="14">
      <c r="A14" s="12" t="s">
        <v>11</v>
      </c>
      <c r="B14" s="10">
        <f>B$12-B5</f>
        <v>0</v>
      </c>
      <c r="C14" s="10">
        <f>C$12-C5</f>
        <v>50</v>
      </c>
      <c r="D14" s="10">
        <f>D$12-D5</f>
        <v>190</v>
      </c>
    </row>
    <row r="15">
      <c r="A15" s="12" t="s">
        <v>12</v>
      </c>
      <c r="B15" s="10">
        <f>B$12-B6</f>
        <v>30</v>
      </c>
      <c r="C15" s="10">
        <f>C$12-C6</f>
        <v>0</v>
      </c>
      <c r="D15" s="10">
        <f>D$12-D6</f>
        <v>100</v>
      </c>
    </row>
    <row r="16">
      <c r="A16" s="12" t="s">
        <v>13</v>
      </c>
      <c r="B16" s="10">
        <f>B$12-B7</f>
        <v>110</v>
      </c>
      <c r="C16" s="10">
        <f>C$12-C7</f>
        <v>10</v>
      </c>
      <c r="D16" s="10">
        <f>D$12-D7</f>
        <v>0</v>
      </c>
    </row>
    <row r="19">
      <c r="A19" s="3" t="s">
        <v>19</v>
      </c>
      <c r="B19" s="3" t="s">
        <v>20</v>
      </c>
      <c r="C19" s="3" t="s">
        <v>21</v>
      </c>
    </row>
    <row r="20">
      <c r="A20" s="12" t="s">
        <v>22</v>
      </c>
      <c r="B20" s="8" t="str">
        <f>INDEX($A$5:$A$7,MATCH(MAX(E5:E7),E5:E7,0))</f>
        <v>12 chargers</v>
      </c>
      <c r="C20" s="20">
        <f>MAX(E5:E7)</f>
        <v>260</v>
      </c>
    </row>
    <row r="21">
      <c r="A21" s="12" t="s">
        <v>23</v>
      </c>
      <c r="B21" s="8" t="str">
        <f>INDEX($A$5:$A$7,MATCH(MAX(F5:F7),F5:F7,0))</f>
        <v>2 chargers</v>
      </c>
      <c r="C21" s="20">
        <f>MAX(F5:F7)</f>
        <v>40</v>
      </c>
    </row>
    <row r="22">
      <c r="A22" s="12" t="s">
        <v>24</v>
      </c>
      <c r="B22" s="8" t="str">
        <f>INDEX($A$5:$A$7,MATCH(MIN(I5:I7),I5:I7,0))</f>
        <v>6 chargers</v>
      </c>
      <c r="C22" s="20">
        <f>MIN(I5:I7)</f>
        <v>100</v>
      </c>
    </row>
    <row r="23">
      <c r="A23" s="12" t="s">
        <v>8</v>
      </c>
      <c r="B23" s="8" t="str">
        <f>INDEX($A$5:$A$7,MATCH(MAX(G5:G7),G5:G7,0))</f>
        <v>12 chargers</v>
      </c>
      <c r="C23" s="20">
        <f>MAX(G5:G7)</f>
        <v>128</v>
      </c>
    </row>
    <row r="24">
      <c r="A24" s="12" t="s">
        <v>25</v>
      </c>
      <c r="B24" s="8" t="str">
        <f>INDEX($A$5:$A$7,MATCH(MAX(H5:H7),H5:H7,0))</f>
        <v>12 chargers</v>
      </c>
      <c r="C24" s="20">
        <f>MAX(H5:H7)</f>
        <v>96.66666666666667</v>
      </c>
    </row>
    <row r="26">
      <c r="A26" s="15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"/>
  <sheetViews>
    <sheetView workbookViewId="0">
      <selection activeCell="A1" sqref="A1"/>
    </sheetView>
  </sheetViews>
  <sheetFormatPr defaultColWidth="8.6796875" defaultRowHeight="15"/>
  <cols>
    <col min="1" max="1" width="30" customWidth="true"/>
    <col min="2" max="10" width="13" customWidth="true"/>
  </cols>
  <sheetData>
    <row r="1">
      <c r="A1" s="1" t="s">
        <v>27</v>
      </c>
    </row>
    <row r="2">
      <c r="A2" s="15" t="s">
        <v>28</v>
      </c>
    </row>
    <row r="4">
      <c r="B4" s="3" t="s">
        <v>3</v>
      </c>
      <c r="C4" s="3" t="s">
        <v>4</v>
      </c>
      <c r="D4" s="3" t="s">
        <v>5</v>
      </c>
      <c r="E4" s="3" t="s">
        <v>29</v>
      </c>
    </row>
    <row r="5">
      <c r="A5" s="12" t="s">
        <v>30</v>
      </c>
      <c r="B5" s="16">
        <v>0.3</v>
      </c>
      <c r="C5" s="16">
        <v>0.5</v>
      </c>
      <c r="D5" s="16">
        <v>0.2</v>
      </c>
      <c r="E5" s="18">
        <f>SUM(B5:D5)</f>
        <v>1</v>
      </c>
      <c r="F5" s="15" t="s">
        <v>31</v>
      </c>
    </row>
    <row r="7">
      <c r="A7" s="3" t="s">
        <v>2</v>
      </c>
      <c r="B7" s="3" t="s">
        <v>3</v>
      </c>
      <c r="C7" s="3" t="s">
        <v>4</v>
      </c>
      <c r="D7" s="3" t="s">
        <v>5</v>
      </c>
      <c r="E7" s="3" t="s">
        <v>32</v>
      </c>
      <c r="F7" s="3" t="s">
        <v>33</v>
      </c>
    </row>
    <row r="8">
      <c r="A8" s="12" t="s">
        <v>11</v>
      </c>
      <c r="B8" s="10">
        <f>Criteria!B5</f>
        <v>40</v>
      </c>
      <c r="C8" s="10">
        <f>Criteria!C5</f>
        <v>60</v>
      </c>
      <c r="D8" s="10">
        <f>Criteria!D5</f>
        <v>70</v>
      </c>
      <c r="E8" s="17">
        <f>SUMPRODUCT($B$5:$D$5,B8:D8)</f>
        <v>56</v>
      </c>
      <c r="F8" s="17">
        <f>SUMPRODUCT($B$5:$D$5,Criteria!B14:D14)</f>
        <v>63</v>
      </c>
    </row>
    <row r="9">
      <c r="A9" s="12" t="s">
        <v>12</v>
      </c>
      <c r="B9" s="10">
        <f>Criteria!B6</f>
        <v>10</v>
      </c>
      <c r="C9" s="10">
        <f>Criteria!C6</f>
        <v>110</v>
      </c>
      <c r="D9" s="10">
        <f>Criteria!D6</f>
        <v>160</v>
      </c>
      <c r="E9" s="17">
        <f>SUMPRODUCT($B$5:$D$5,B9:D9)</f>
        <v>90</v>
      </c>
      <c r="F9" s="17">
        <f>SUMPRODUCT($B$5:$D$5,Criteria!B15:D15)</f>
        <v>29</v>
      </c>
    </row>
    <row r="10">
      <c r="A10" s="12" t="s">
        <v>13</v>
      </c>
      <c r="B10" s="10">
        <f>Criteria!B7</f>
        <v>-70</v>
      </c>
      <c r="C10" s="10">
        <f>Criteria!C7</f>
        <v>100</v>
      </c>
      <c r="D10" s="10">
        <f>Criteria!D7</f>
        <v>260</v>
      </c>
      <c r="E10" s="17">
        <f>SUMPRODUCT($B$5:$D$5,B10:D10)</f>
        <v>81</v>
      </c>
      <c r="F10" s="17">
        <f>SUMPRODUCT($B$5:$D$5,Criteria!B16:D16)</f>
        <v>38</v>
      </c>
    </row>
    <row r="12">
      <c r="A12" s="12" t="s">
        <v>34</v>
      </c>
      <c r="B12" s="10">
        <f>Criteria!B12</f>
        <v>40</v>
      </c>
      <c r="C12" s="10">
        <f>Criteria!C12</f>
        <v>110</v>
      </c>
      <c r="D12" s="10">
        <f>Criteria!D12</f>
        <v>260</v>
      </c>
    </row>
    <row r="14">
      <c r="A14" s="12" t="s">
        <v>35</v>
      </c>
      <c r="E14" s="8" t="str">
        <f>INDEX(A8:A10,MATCH(MAX(E8:E10),E8:E10,0))</f>
        <v>6 chargers</v>
      </c>
    </row>
    <row r="15">
      <c r="A15" s="12" t="s">
        <v>36</v>
      </c>
      <c r="E15" s="20">
        <f>MAX(E8:E10)</f>
        <v>90</v>
      </c>
    </row>
    <row r="16">
      <c r="A16" s="12" t="s">
        <v>37</v>
      </c>
      <c r="E16" s="20">
        <f>SUMPRODUCT(B5:D5,B12:D12)</f>
        <v>119</v>
      </c>
    </row>
    <row r="17">
      <c r="A17" s="12" t="s">
        <v>38</v>
      </c>
      <c r="E17" s="20">
        <f>E16-E15</f>
        <v>29</v>
      </c>
    </row>
    <row r="18">
      <c r="A18" s="12" t="s">
        <v>39</v>
      </c>
      <c r="E18" s="20">
        <f>MIN(F8:F10)</f>
        <v>29</v>
      </c>
    </row>
    <row r="20">
      <c r="A20" s="15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0"/>
  <sheetViews>
    <sheetView workbookViewId="0">
      <selection activeCell="A1" sqref="A1"/>
    </sheetView>
  </sheetViews>
  <sheetFormatPr defaultColWidth="8.6796875" defaultRowHeight="15"/>
  <cols>
    <col min="1" max="1" width="30" customWidth="true"/>
    <col min="2" max="10" width="13" customWidth="true"/>
  </cols>
  <sheetData>
    <row r="1">
      <c r="A1" s="1" t="s">
        <v>41</v>
      </c>
    </row>
    <row r="2">
      <c r="A2" s="15" t="s">
        <v>42</v>
      </c>
    </row>
    <row r="4">
      <c r="A4" s="4" t="s">
        <v>43</v>
      </c>
      <c r="B4" s="9">
        <v>8</v>
      </c>
    </row>
    <row r="6">
      <c r="A6" s="3" t="s">
        <v>44</v>
      </c>
      <c r="B6" s="3" t="s">
        <v>45</v>
      </c>
      <c r="C6" s="3" t="s">
        <v>46</v>
      </c>
      <c r="D6" s="3" t="s">
        <v>47</v>
      </c>
      <c r="E6" s="3" t="s">
        <v>48</v>
      </c>
      <c r="F6" s="3" t="s">
        <v>49</v>
      </c>
      <c r="G6" s="3" t="s">
        <v>50</v>
      </c>
      <c r="H6" s="3" t="s">
        <v>51</v>
      </c>
    </row>
    <row r="7">
      <c r="A7" s="12" t="s">
        <v>3</v>
      </c>
      <c r="B7" s="18">
        <f>EV!B5</f>
        <v>0.3</v>
      </c>
      <c r="C7" s="16">
        <v>0.2</v>
      </c>
      <c r="D7" s="18">
        <f>1-C7</f>
        <v>0.8</v>
      </c>
      <c r="E7" s="18">
        <f>B7*C7</f>
        <v>0.06</v>
      </c>
      <c r="F7" s="18">
        <f>B7*D7</f>
        <v>0.24</v>
      </c>
      <c r="G7" s="18">
        <f>E7/$E$10</f>
        <v>0.1111111111111111</v>
      </c>
      <c r="H7" s="18">
        <f>F7/$F$10</f>
        <v>0.5217391304347826</v>
      </c>
    </row>
    <row r="8">
      <c r="A8" s="12" t="s">
        <v>4</v>
      </c>
      <c r="B8" s="18">
        <f>EV!C5</f>
        <v>0.5</v>
      </c>
      <c r="C8" s="16">
        <v>0.6</v>
      </c>
      <c r="D8" s="18">
        <f>1-C8</f>
        <v>0.4</v>
      </c>
      <c r="E8" s="18">
        <f>B8*C8</f>
        <v>0.3</v>
      </c>
      <c r="F8" s="18">
        <f>B8*D8</f>
        <v>0.2</v>
      </c>
      <c r="G8" s="18">
        <f>E8/$E$10</f>
        <v>0.5555555555555556</v>
      </c>
      <c r="H8" s="18">
        <f>F8/$F$10</f>
        <v>0.43478260869565216</v>
      </c>
    </row>
    <row r="9">
      <c r="A9" s="12" t="s">
        <v>5</v>
      </c>
      <c r="B9" s="18">
        <f>EV!D5</f>
        <v>0.2</v>
      </c>
      <c r="C9" s="16">
        <v>0.9</v>
      </c>
      <c r="D9" s="18">
        <f>1-C9</f>
        <v>0.1</v>
      </c>
      <c r="E9" s="18">
        <f>B9*C9</f>
        <v>0.18</v>
      </c>
      <c r="F9" s="18">
        <f>B9*D9</f>
        <v>0.02</v>
      </c>
      <c r="G9" s="18">
        <f>E9/$E$10</f>
        <v>0.3333333333333333</v>
      </c>
      <c r="H9" s="18">
        <f>F9/$F$10</f>
        <v>0.043478260869565216</v>
      </c>
    </row>
    <row r="10">
      <c r="A10" s="12" t="s">
        <v>52</v>
      </c>
      <c r="E10" s="18">
        <f>SUM(E7:E9)</f>
        <v>0.54</v>
      </c>
      <c r="F10" s="18">
        <f>SUM(F7:F9)</f>
        <v>0.46</v>
      </c>
    </row>
    <row r="12">
      <c r="A12" s="3" t="s">
        <v>2</v>
      </c>
      <c r="B12" s="3" t="s">
        <v>53</v>
      </c>
      <c r="C12" s="3" t="s">
        <v>54</v>
      </c>
    </row>
    <row r="13">
      <c r="A13" s="12" t="s">
        <v>11</v>
      </c>
      <c r="B13" s="17">
        <f>$G$7*Criteria!B5+$G$8*Criteria!C5+$G$9*Criteria!D5</f>
        <v>61.111111111111114</v>
      </c>
      <c r="C13" s="17">
        <f>$H$7*Criteria!B5+$H$8*Criteria!C5+$H$9*Criteria!D5</f>
        <v>50</v>
      </c>
    </row>
    <row r="14">
      <c r="A14" s="12" t="s">
        <v>12</v>
      </c>
      <c r="B14" s="17">
        <f>$G$7*Criteria!B6+$G$8*Criteria!C6+$G$9*Criteria!D6</f>
        <v>115.55555555555556</v>
      </c>
      <c r="C14" s="17">
        <f>$H$7*Criteria!B6+$H$8*Criteria!C6+$H$9*Criteria!D6</f>
        <v>60</v>
      </c>
    </row>
    <row r="15">
      <c r="A15" s="12" t="s">
        <v>13</v>
      </c>
      <c r="B15" s="17">
        <f>$G$7*Criteria!B7+$G$8*Criteria!C7+$G$9*Criteria!D7</f>
        <v>134.44444444444446</v>
      </c>
      <c r="C15" s="17">
        <f>$H$7*Criteria!B7+$H$8*Criteria!C7+$H$9*Criteria!D7</f>
        <v>18.26086956521739</v>
      </c>
    </row>
    <row r="17">
      <c r="A17" s="12" t="s">
        <v>55</v>
      </c>
      <c r="B17" s="8" t="str">
        <f>INDEX(A13:A15,MATCH(MAX(B13:B15),B13:B15,0))</f>
        <v>12 chargers</v>
      </c>
      <c r="C17" s="8" t="str">
        <f>INDEX(A13:A15,MATCH(MAX(C13:C15),C13:C15,0))</f>
        <v>6 chargers</v>
      </c>
    </row>
    <row r="18">
      <c r="A18" s="12" t="s">
        <v>56</v>
      </c>
      <c r="B18" s="17">
        <f>MAX(B13:B15)</f>
        <v>134.44444444444446</v>
      </c>
      <c r="C18" s="17">
        <f>MAX(C13:C15)</f>
        <v>60</v>
      </c>
    </row>
    <row r="20">
      <c r="A20" s="12" t="s">
        <v>57</v>
      </c>
      <c r="B20" s="17">
        <f>E10*B18+F10*C18</f>
        <v>100.2</v>
      </c>
    </row>
    <row r="21">
      <c r="A21" s="12" t="s">
        <v>58</v>
      </c>
      <c r="B21" s="17">
        <f>EV!E15</f>
        <v>90</v>
      </c>
    </row>
    <row r="22">
      <c r="A22" s="12" t="s">
        <v>59</v>
      </c>
      <c r="B22" s="20">
        <f>B20-B21</f>
        <v>10.2</v>
      </c>
    </row>
    <row r="23">
      <c r="A23" s="12" t="s">
        <v>60</v>
      </c>
      <c r="B23" s="17">
        <f>EV!E17</f>
        <v>29</v>
      </c>
    </row>
    <row r="24">
      <c r="A24" s="12" t="s">
        <v>61</v>
      </c>
      <c r="B24" s="19">
        <f>B22/B23</f>
        <v>0.35172413793103446</v>
      </c>
    </row>
    <row r="25">
      <c r="A25" s="12" t="s">
        <v>62</v>
      </c>
      <c r="B25" s="17">
        <f>B20-B4</f>
        <v>92.2</v>
      </c>
    </row>
    <row r="26">
      <c r="A26" s="12" t="s">
        <v>63</v>
      </c>
      <c r="B26" s="20">
        <f>B25-B21</f>
        <v>2.2</v>
      </c>
    </row>
    <row r="28">
      <c r="A28" s="12" t="s">
        <v>64</v>
      </c>
      <c r="B28" s="8" t="str">
        <f>IF(B26&gt;0,"Buy the study","Skip the study")</f>
        <v>Buy the study</v>
      </c>
    </row>
    <row r="30">
      <c r="A30" s="15" t="s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MGMT 4100 build_deck06_workbook.py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MGMT 4100</dc:creator>
  <dcterms:created xsi:type="dcterms:W3CDTF">2026-10-26T00:00:00Z</dcterms:created>
  <dcterms:modified xsi:type="dcterms:W3CDTF">2026-10-26T00:00:00Z</dcterms:modified>
</cp:coreProperties>
</file>