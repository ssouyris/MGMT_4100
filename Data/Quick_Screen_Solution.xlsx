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Model!$B$14:$B$17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Model!$H$7:$H$11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Model!$B$18</definedName>
    <definedName name="solver_pre" hidden="true" localSheetId="0">1</definedName>
    <definedName name="solver_rel1" hidden="true" localSheetId="0">1</definedName>
    <definedName name="solver_rhs1" hidden="true" localSheetId="0">Model!$J$7:$J$11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<sst xmlns="http://schemas.openxmlformats.org/spreadsheetml/2006/main" count="32" uniqueCount="32">
  <si>
    <t xml:space="preserve">A Product Mix Example: Quick-Screen</t>
  </si>
  <si>
    <t xml:space="preserve">Products:</t>
  </si>
  <si>
    <t xml:space="preserve">X1</t>
  </si>
  <si>
    <t xml:space="preserve">X2</t>
  </si>
  <si>
    <t xml:space="preserve">X3</t>
  </si>
  <si>
    <t xml:space="preserve">X4</t>
  </si>
  <si>
    <t xml:space="preserve">Profit per dozen:</t>
  </si>
  <si>
    <t xml:space="preserve">Resources:</t>
  </si>
  <si>
    <t xml:space="preserve">Usage</t>
  </si>
  <si>
    <t xml:space="preserve">Constraints</t>
  </si>
  <si>
    <t xml:space="preserve">Available</t>
  </si>
  <si>
    <t xml:space="preserve">Left over</t>
  </si>
  <si>
    <t xml:space="preserve">   processing time (hr/dz)</t>
  </si>
  <si>
    <t xml:space="preserve">&lt;=</t>
  </si>
  <si>
    <t xml:space="preserve">   truck capacity (boxes)</t>
  </si>
  <si>
    <t xml:space="preserve">   budget ($)</t>
  </si>
  <si>
    <t xml:space="preserve">   blank sweatshirts (dz)</t>
  </si>
  <si>
    <t xml:space="preserve">   blank T-shirts (dz)</t>
  </si>
  <si>
    <t xml:space="preserve">Production:</t>
  </si>
  <si>
    <t xml:space="preserve">X1 =</t>
  </si>
  <si>
    <t xml:space="preserve">sweatshirts, front printing</t>
  </si>
  <si>
    <t xml:space="preserve">X2 =</t>
  </si>
  <si>
    <t xml:space="preserve">sweatshirts, back and front</t>
  </si>
  <si>
    <t xml:space="preserve">X3 =</t>
  </si>
  <si>
    <t xml:space="preserve">T-shirts, front printing</t>
  </si>
  <si>
    <t xml:space="preserve">X4 =</t>
  </si>
  <si>
    <t xml:space="preserve">T-shirts, back and front</t>
  </si>
  <si>
    <t xml:space="preserve">Profit =</t>
  </si>
  <si>
    <t xml:space="preserve">total profit ($)</t>
  </si>
  <si>
    <t xml:space="preserve">Legend: blue = data cells (edit to change the problem); yellow = changing cells (Solver decides); orange = objective cell.</t>
  </si>
  <si>
    <t xml:space="preserve">Solver: Max B18; changing cells B14:B17; H7:H11 &lt;= J7:J11; Make Unconstrained Variables Non-Negative; Simplex LP.</t>
  </si>
  <si>
    <t xml:space="preserve">Optimum: 175.56, 57.78, 500 and 0 dozen; profit $45,522.22. Processing time, truck capacity and blank T-shirts bind.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</si>
</sst>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A1" sqref="A1"/>
    </sheetView>
  </sheetViews>
  <sheetFormatPr defaultColWidth="8.6796875" defaultRowHeight="15"/>
  <cols>
    <col min="1" max="1" width="28" customWidth="true"/>
    <col min="2" max="2" width="11" customWidth="true"/>
    <col min="3" max="3" width="26" customWidth="true"/>
    <col min="4" max="11" width="12" customWidth="true"/>
  </cols>
  <sheetData>
    <row r="1">
      <c r="A1" s="1" t="s">
        <v>0</v>
      </c>
    </row>
    <row r="4">
      <c r="A4" s="4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>
      <c r="A5" s="4" t="s">
        <v>6</v>
      </c>
      <c r="D5" s="9">
        <v>90</v>
      </c>
      <c r="E5" s="9">
        <v>125</v>
      </c>
      <c r="F5" s="9">
        <v>45</v>
      </c>
      <c r="G5" s="9">
        <v>65</v>
      </c>
    </row>
    <row r="6">
      <c r="A6" s="4" t="s">
        <v>7</v>
      </c>
      <c r="H6" s="3" t="s">
        <v>8</v>
      </c>
      <c r="I6" s="3" t="s">
        <v>9</v>
      </c>
      <c r="J6" s="3" t="s">
        <v>10</v>
      </c>
      <c r="K6" s="3" t="s">
        <v>11</v>
      </c>
    </row>
    <row r="7">
      <c r="A7" s="12" t="s">
        <v>12</v>
      </c>
      <c r="D7" s="9">
        <v>0.1</v>
      </c>
      <c r="E7" s="9">
        <v>0.25</v>
      </c>
      <c r="F7" s="9">
        <v>0.08</v>
      </c>
      <c r="G7" s="9">
        <v>0.21</v>
      </c>
      <c r="H7" s="10">
        <f>D7*B14+E7*B15+F7*B16+G7*B17</f>
        <v>72</v>
      </c>
      <c r="I7" s="8" t="s">
        <v>13</v>
      </c>
      <c r="J7" s="9">
        <v>72</v>
      </c>
      <c r="K7" s="10">
        <f>J7-H7</f>
        <v>0</v>
      </c>
    </row>
    <row r="8">
      <c r="A8" s="12" t="s">
        <v>14</v>
      </c>
      <c r="D8" s="9">
        <v>3</v>
      </c>
      <c r="E8" s="9">
        <v>3</v>
      </c>
      <c r="F8" s="9">
        <v>1</v>
      </c>
      <c r="G8" s="9">
        <v>1</v>
      </c>
      <c r="H8" s="10">
        <f>D8*B14+E8*B15+F8*B16+G8*B17</f>
        <v>1200</v>
      </c>
      <c r="I8" s="8" t="s">
        <v>13</v>
      </c>
      <c r="J8" s="9">
        <v>1200</v>
      </c>
      <c r="K8" s="10">
        <f>J8-H8</f>
        <v>0</v>
      </c>
    </row>
    <row r="9">
      <c r="A9" s="12" t="s">
        <v>15</v>
      </c>
      <c r="D9" s="9">
        <v>36</v>
      </c>
      <c r="E9" s="9">
        <v>48</v>
      </c>
      <c r="F9" s="9">
        <v>25</v>
      </c>
      <c r="G9" s="9">
        <v>35</v>
      </c>
      <c r="H9" s="10">
        <f>D9*B14+E9*B15+F9*B16+G9*B17</f>
        <v>21593.333333333332</v>
      </c>
      <c r="I9" s="8" t="s">
        <v>13</v>
      </c>
      <c r="J9" s="9">
        <v>25000</v>
      </c>
      <c r="K9" s="10">
        <f>J9-H9</f>
        <v>3406.6666666666665</v>
      </c>
    </row>
    <row r="10">
      <c r="A10" s="12" t="s">
        <v>16</v>
      </c>
      <c r="D10" s="9">
        <v>1</v>
      </c>
      <c r="E10" s="9">
        <v>1</v>
      </c>
      <c r="H10" s="10">
        <f>D10*B14+E10*B15</f>
        <v>233.33333333333334</v>
      </c>
      <c r="I10" s="8" t="s">
        <v>13</v>
      </c>
      <c r="J10" s="9">
        <v>500</v>
      </c>
      <c r="K10" s="10">
        <f>J10-H10</f>
        <v>266.6666666666667</v>
      </c>
    </row>
    <row r="11">
      <c r="A11" s="12" t="s">
        <v>17</v>
      </c>
      <c r="F11" s="9">
        <v>1</v>
      </c>
      <c r="G11" s="9">
        <v>1</v>
      </c>
      <c r="H11" s="10">
        <f>F11*B16+G11*B17</f>
        <v>500</v>
      </c>
      <c r="I11" s="8" t="s">
        <v>13</v>
      </c>
      <c r="J11" s="9">
        <v>500</v>
      </c>
      <c r="K11" s="10">
        <f>J11-H11</f>
        <v>0</v>
      </c>
    </row>
    <row r="13">
      <c r="A13" s="4" t="s">
        <v>18</v>
      </c>
    </row>
    <row r="14">
      <c r="A14" s="4" t="s">
        <v>19</v>
      </c>
      <c r="B14" s="11">
        <v>175.55555555555554</v>
      </c>
      <c r="C14" s="12" t="s">
        <v>20</v>
      </c>
    </row>
    <row r="15">
      <c r="A15" s="4" t="s">
        <v>21</v>
      </c>
      <c r="B15" s="11">
        <v>57.77777777777778</v>
      </c>
      <c r="C15" s="12" t="s">
        <v>22</v>
      </c>
    </row>
    <row r="16">
      <c r="A16" s="4" t="s">
        <v>23</v>
      </c>
      <c r="B16" s="11">
        <v>500</v>
      </c>
      <c r="C16" s="12" t="s">
        <v>24</v>
      </c>
    </row>
    <row r="17">
      <c r="A17" s="4" t="s">
        <v>25</v>
      </c>
      <c r="B17" s="11">
        <v>0</v>
      </c>
      <c r="C17" s="12" t="s">
        <v>26</v>
      </c>
    </row>
    <row r="18">
      <c r="A18" s="4" t="s">
        <v>27</v>
      </c>
      <c r="B18" s="14">
        <f>D5*B14+E5*B15+F5*B16+G5*B17</f>
        <v>45522.22222222222</v>
      </c>
      <c r="C18" s="12" t="s">
        <v>28</v>
      </c>
    </row>
    <row r="20">
      <c r="A20" s="15" t="s">
        <v>29</v>
      </c>
    </row>
    <row r="21">
      <c r="A21" s="15" t="s">
        <v>30</v>
      </c>
    </row>
    <row r="22">
      <c r="A22" s="1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build_deck03_workbooks.py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