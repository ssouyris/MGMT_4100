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Model!$B$7:$D$7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Model!$F$4</definedName>
    <definedName name="solver_lhs2" hidden="true" localSheetId="0">Model!$B$7</definedName>
    <definedName name="solver_lhs3" hidden="true" localSheetId="0">Model!$B$7</definedName>
    <definedName name="solver_lhs4" hidden="true" localSheetId="0">Model!$C$7</definedName>
    <definedName name="solver_lhs5" hidden="true" localSheetId="0">Model!$D$7</definedName>
    <definedName name="solver_lhs6" hidden="true" localSheetId="0">Model!$D$7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6</definedName>
    <definedName name="solver_nwt" hidden="true" localSheetId="0">1</definedName>
    <definedName name="solver_opt" hidden="true" localSheetId="0">Model!$F$11</definedName>
    <definedName name="solver_pre" hidden="true" localSheetId="0">1</definedName>
    <definedName name="solver_rel1" hidden="true" localSheetId="0">1</definedName>
    <definedName name="solver_rel2" hidden="true" localSheetId="0">4</definedName>
    <definedName name="solver_rel3" hidden="true" localSheetId="0">1</definedName>
    <definedName name="solver_rel4" hidden="true" localSheetId="0">1</definedName>
    <definedName name="solver_rel5" hidden="true" localSheetId="0">1</definedName>
    <definedName name="solver_rel6" hidden="true" localSheetId="0">4</definedName>
    <definedName name="solver_rhs1" hidden="true" localSheetId="0">Model!$H$4</definedName>
    <definedName name="solver_rhs2" hidden="true" localSheetId="0">integer</definedName>
    <definedName name="solver_rhs3" hidden="true" localSheetId="0">Model!$B$9</definedName>
    <definedName name="solver_rhs4" hidden="true" localSheetId="0">Model!$C$9</definedName>
    <definedName name="solver_rhs5" hidden="true" localSheetId="0">Model!$D$9</definedName>
    <definedName name="solver_rhs6" hidden="true" localSheetId="0">integer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<sst xmlns="http://schemas.openxmlformats.org/spreadsheetml/2006/main" count="22" uniqueCount="21">
  <si>
    <t xml:space="preserve">Investment portfolio (mixed integer model)</t>
  </si>
  <si>
    <t xml:space="preserve">Condos (x1)</t>
  </si>
  <si>
    <t xml:space="preserve">Land acres (x2)</t>
  </si>
  <si>
    <t xml:space="preserve">Bonds (x3)</t>
  </si>
  <si>
    <t xml:space="preserve">Used</t>
  </si>
  <si>
    <t xml:space="preserve">Available</t>
  </si>
  <si>
    <t xml:space="preserve">Funds ($)</t>
  </si>
  <si>
    <t xml:space="preserve">&lt;=</t>
  </si>
  <si>
    <t xml:space="preserve">Decision (changing cells)</t>
  </si>
  <si>
    <t xml:space="preserve">Variable type</t>
  </si>
  <si>
    <t xml:space="preserve">integer</t>
  </si>
  <si>
    <t xml:space="preserve">continuous</t>
  </si>
  <si>
    <t xml:space="preserve">Upper bound</t>
  </si>
  <si>
    <t xml:space="preserve">Profit after one year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</si>
  <si>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</si>
  <si>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</si>
  <si>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</si>
  <si>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F11 (Max), changing cells B7:D7, constraints F4:F4 vs H4:H4,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</si>
  <si>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</si>
  <si>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</si>
  <si>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4 condos, 4.167 acres, 0 bonds, $42,250. Funds fully used.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</si>
</sst>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8" width="14" customWidth="true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2"/>
      <c r="F3" s="3" t="s">
        <v>4</v>
      </c>
      <c r="G3" s="2"/>
      <c r="H3" s="3" t="s">
        <v>5</v>
      </c>
    </row>
    <row r="4">
      <c r="A4" s="4" t="s">
        <v>6</v>
      </c>
      <c r="B4" s="5" t="n">
        <v>50000</v>
      </c>
      <c r="C4" s="5" t="n">
        <v>12000</v>
      </c>
      <c r="D4" s="5" t="n">
        <v>8000</v>
      </c>
      <c r="E4" s="6"/>
      <c r="F4" s="7" t="n">
        <f aca="false">SUMPRODUCT(B4:D4,B7:D7)</f>
        <v>249999.9999992</v>
      </c>
      <c r="G4" s="8" t="s">
        <v>7</v>
      </c>
      <c r="H4" s="5" t="n">
        <v>250000</v>
      </c>
    </row>
    <row r="7">
      <c r="A7" s="4" t="s">
        <v>8</v>
      </c>
      <c r="B7" s="9" t="n">
        <v>4</v>
      </c>
      <c r="C7" s="9" t="n">
        <v>4.1666666666</v>
      </c>
      <c r="D7" s="9" t="n">
        <v>0</v>
      </c>
    </row>
    <row r="8">
      <c r="A8" s="4" t="s">
        <v>9</v>
      </c>
      <c r="B8" s="10" t="s">
        <v>10</v>
      </c>
      <c r="C8" s="10" t="s">
        <v>11</v>
      </c>
      <c r="D8" s="10" t="s">
        <v>10</v>
      </c>
    </row>
    <row r="9">
      <c r="A9" s="4" t="s">
        <v>12</v>
      </c>
      <c r="B9" s="11" t="n">
        <v>4</v>
      </c>
      <c r="C9" s="11" t="n">
        <v>15</v>
      </c>
      <c r="D9" s="11" t="n">
        <v>20</v>
      </c>
    </row>
    <row r="11">
      <c r="A11" s="4" t="s">
        <v>13</v>
      </c>
      <c r="B11" s="12" t="n">
        <v>9000</v>
      </c>
      <c r="C11" s="12" t="n">
        <v>1500</v>
      </c>
      <c r="D11" s="12" t="n">
        <v>1000</v>
      </c>
      <c r="E11" s="3" t="s">
        <v>14</v>
      </c>
      <c r="F11" s="13" t="n">
        <f aca="false">SUMPRODUCT(B11:D11,B7:D7)</f>
        <v>42249.9999999</v>
      </c>
    </row>
    <row r="13">
      <c r="A13" s="14" t="s">
        <v>15</v>
      </c>
    </row>
    <row r="14">
      <c r="A14" s="14" t="s">
        <v>16</v>
      </c>
    </row>
    <row r="15">
      <c r="A15" s="14" t="s">
        <v>17</v>
      </c>
    </row>
    <row r="16">
      <c r="A16" s="14" t="s">
        <v>18</v>
      </c>
    </row>
    <row r="17">
      <c r="A17" s="14" t="s">
        <v>19</v>
      </c>
    </row>
    <row r="18">
      <c r="A18" s="1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